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Rajdeep\Desktop\DataAnalysis\Excel\Project_Dashboard\"/>
    </mc:Choice>
  </mc:AlternateContent>
  <xr:revisionPtr revIDLastSave="0" documentId="13_ncr:1_{5F0A4915-0476-4CD6-A2FB-DA21D7F6C0DE}" xr6:coauthVersionLast="47" xr6:coauthVersionMax="47" xr10:uidLastSave="{00000000-0000-0000-0000-000000000000}"/>
  <bookViews>
    <workbookView xWindow="-100" yWindow="-100" windowWidth="21467" windowHeight="11443" xr2:uid="{81D512C5-DFD0-45A9-BA7A-3679803E1A90}"/>
  </bookViews>
  <sheets>
    <sheet name="DashBoard" sheetId="3" r:id="rId1"/>
    <sheet name="Raw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0" i="1" l="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<sst xmlns="http://schemas.openxmlformats.org/spreadsheetml/2006/main" count="461" uniqueCount="302">
  <si>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</si>
  <si>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</si>
  <si>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</si>
  <si>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</si>
  <si>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</si>
  <si>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</si>
  <si>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</si>
  <si>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</si>
  <si>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</si>
  <si>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</si>
  <si>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</si>
  <si>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</si>
  <si>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</si>
  <si>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</si>
  <si>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</si>
  <si>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</si>
  <si>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</si>
  <si>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</si>
  <si>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</si>
  <si>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</si>
  <si>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</si>
  <si>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</si>
  <si>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</si>
  <si>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</si>
  <si>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</si>
  <si>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</si>
  <si>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</si>
  <si>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</si>
  <si>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</si>
  <si>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</si>
  <si>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</si>
  <si>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</si>
  <si>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</si>
  <si>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</si>
  <si>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</si>
  <si>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</si>
  <si>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</si>
  <si>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</si>
  <si>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</si>
  <si>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</si>
  <si>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</si>
  <si>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</si>
  <si>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</si>
  <si>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</si>
  <si>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</si>
  <si>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</si>
  <si>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</si>
  <si>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</si>
  <si>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</si>
  <si>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</si>
  <si>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</si>
  <si>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</si>
  <si>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</si>
  <si>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</si>
  <si>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</si>
  <si>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</si>
  <si>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</si>
  <si>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</si>
  <si>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</si>
  <si>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</si>
  <si>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</si>
  <si>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</si>
  <si>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</si>
  <si>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</si>
  <si>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</si>
  <si>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</si>
  <si>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</si>
  <si>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</si>
  <si>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</si>
  <si>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</si>
  <si>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</si>
  <si>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</si>
  <si>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</si>
  <si>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</si>
  <si>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</si>
  <si>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</si>
  <si>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</si>
  <si>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</si>
  <si>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</si>
  <si>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</si>
  <si>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</si>
  <si>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</si>
  <si>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</si>
  <si>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</si>
  <si>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</si>
  <si>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</si>
  <si>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</si>
  <si>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</si>
  <si>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</si>
  <si>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</si>
  <si>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</si>
  <si>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</si>
  <si>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</si>
  <si>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</si>
  <si>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</si>
  <si>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</si>
  <si>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</si>
  <si>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</si>
  <si>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</si>
  <si>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</si>
  <si>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</si>
  <si>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</si>
  <si>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</si>
  <si>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</si>
  <si>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</si>
  <si>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</si>
  <si>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</si>
  <si>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</si>
  <si>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</si>
  <si>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</si>
  <si>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</si>
  <si>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</si>
  <si>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</si>
  <si>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</si>
  <si>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</si>
  <si>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</si>
  <si>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</si>
  <si>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</si>
  <si>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</si>
  <si>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</si>
  <si>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</si>
  <si>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</si>
  <si>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</si>
  <si>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</si>
  <si>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</si>
  <si>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</si>
  <si>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</si>
  <si>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</si>
  <si>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</si>
  <si>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</si>
  <si>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</si>
  <si>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</si>
  <si>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</si>
  <si>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</si>
  <si>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</si>
  <si>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</si>
  <si>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</si>
  <si>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</si>
  <si>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</si>
  <si>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</si>
  <si>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</si>
  <si>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</si>
  <si>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</si>
  <si>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</si>
  <si>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</si>
  <si>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</si>
  <si>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</si>
  <si>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</si>
  <si>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</si>
  <si>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</si>
  <si>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</si>
  <si>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</si>
  <si>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</si>
  <si>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</si>
  <si>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</si>
  <si>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</si>
  <si>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</si>
  <si>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</si>
  <si>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</si>
  <si>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</si>
  <si>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</si>
  <si>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</si>
  <si>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</si>
  <si>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</si>
  <si>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</si>
  <si>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</si>
  <si>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</si>
  <si>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</si>
  <si>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</si>
  <si>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</si>
  <si>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</si>
  <si>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</si>
  <si>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</si>
  <si>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</si>
  <si>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</si>
  <si>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</si>
  <si>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</si>
  <si>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</si>
  <si>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</si>
  <si>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</si>
  <si>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</si>
  <si>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</si>
  <si>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</si>
  <si>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</si>
  <si>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</si>
  <si>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</si>
  <si>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</si>
  <si>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</si>
  <si>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</si>
  <si>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</si>
  <si>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</si>
  <si>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</si>
  <si>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</si>
  <si>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</si>
  <si>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</si>
  <si>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</si>
  <si>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</si>
  <si>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</si>
  <si>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</si>
  <si>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</si>
  <si>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</si>
  <si>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</si>
  <si>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</si>
  <si>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</si>
  <si>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</si>
  <si>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</si>
  <si>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</si>
  <si>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</si>
  <si>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</si>
  <si>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</si>
  <si>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</si>
  <si>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</si>
  <si>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</si>
  <si>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</si>
  <si>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</si>
  <si>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</si>
  <si>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</si>
  <si>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</si>
  <si>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</si>
  <si>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</si>
  <si>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</si>
  <si>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</si>
  <si>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</si>
  <si>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</si>
  <si>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</si>
  <si>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</si>
  <si>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</si>
  <si>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</si>
  <si>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</si>
  <si>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</si>
  <si>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</si>
  <si>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</si>
  <si>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</si>
  <si>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</si>
  <si>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</si>
  <si>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</si>
  <si>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</si>
  <si>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</si>
  <si>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</si>
  <si>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</si>
  <si>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</si>
  <si>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</si>
  <si>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</si>
  <si>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</si>
  <si>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</si>
  <si>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</si>
  <si>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</si>
  <si>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</si>
  <si>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</si>
  <si>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</si>
  <si>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</si>
  <si>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</si>
  <si>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</si>
  <si>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</si>
  <si>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</si>
  <si>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</si>
  <si>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</si>
  <si>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</si>
  <si>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</si>
  <si>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</si>
  <si>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</si>
  <si>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</si>
  <si>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</si>
  <si>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</si>
  <si>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</si>
  <si>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</si>
  <si>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</si>
  <si>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</si>
  <si>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</si>
  <si>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</si>
  <si>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</si>
  <si>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</si>
  <si>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</si>
  <si>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</si>
  <si>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</si>
  <si>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</si>
  <si>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</si>
  <si>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</si>
  <si>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</si>
  <si>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</si>
  <si>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</si>
  <si>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</si>
  <si>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</si>
  <si>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</si>
  <si>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</si>
  <si>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</si>
  <si>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</si>
  <si>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</si>
  <si>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Mum-TCL137</t>
  </si>
  <si>
    <t>Anil Kumar</t>
  </si>
  <si>
    <t>Mum-TCL138</t>
  </si>
  <si>
    <t>Anikuttan</t>
  </si>
  <si>
    <t>Mum-TCL139</t>
  </si>
  <si>
    <t>Anamika Gupta</t>
  </si>
  <si>
    <t>Mum-TCL140</t>
  </si>
  <si>
    <t>Afzal Husain</t>
  </si>
  <si>
    <t>Mum-TCL141</t>
  </si>
  <si>
    <t>Abdul Hamid</t>
  </si>
  <si>
    <t>Total_Sales</t>
  </si>
  <si>
    <t>Name</t>
  </si>
  <si>
    <t>Target_Hit%</t>
  </si>
  <si>
    <t>Far_From_Target%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</si>
</sst>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2"/>
      <color theme="1" tint="0.14999847407452621"/>
      <name val="Calibri"/>
      <family val="2"/>
      <scheme val="minor"/>
    </font>
    <font>
      <sz val="14"/>
      <color theme="7" tint="0.79998168889431442"/>
      <name val="Calibri"/>
      <family val="2"/>
      <scheme val="minor"/>
    </font>
    <font>
      <b/>
      <sz val="14"/>
      <color theme="7" tint="0.79998168889431442"/>
      <name val="Calibri"/>
      <family val="2"/>
      <scheme val="minor"/>
    </font>
    <font>
      <sz val="12"/>
      <color theme="1"/>
      <name val="Calibri"/>
      <family val="2"/>
      <scheme val="minor"/>
    </font>
    <font>
      <sz val="8"/>
      <color rgb="FF000000"/>
      <name val="Segoe UI"/>
      <family val="2"/>
    </font>
    <font>
      <sz val="11"/>
      <color theme="1" tint="0.1499984740745262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1" tint="0.14999847407452621"/>
        <bgColor indexed="64"/>
      </patternFill>
    </fill>
    <fill>
      <patternFill patternType="solid">
        <fgColor theme="6" tint="-0.24997711111789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theme="1"/>
      </left>
      <right style="medium">
        <color theme="1"/>
      </right>
      <top style="medium">
        <color theme="1"/>
      </top>
      <bottom style="medium">
        <color theme="1"/>
      </bottom>
      <diagonal/>
    </border>
    <border>
      <left style="medium">
        <color theme="1"/>
      </left>
      <right style="thin">
        <color theme="1"/>
      </right>
      <top style="medium">
        <color theme="1"/>
      </top>
      <bottom style="medium">
        <color theme="1"/>
      </bottom>
      <diagonal/>
    </border>
    <border>
      <left style="medium">
        <color theme="1"/>
      </left>
      <right/>
      <top style="medium">
        <color theme="1"/>
      </top>
      <bottom/>
      <diagonal/>
    </border>
    <border>
      <left style="thin">
        <color theme="1"/>
      </left>
      <right style="thin">
        <color theme="1"/>
      </right>
      <top style="thin">
        <color theme="1"/>
      </top>
      <bottom style="thin">
        <color theme="1"/>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5" borderId="0" xfId="0" applyFill="1"/>
    <xf numFmtId="0" fontId="6" fillId="6" borderId="3" xfId="0" applyFont="1" applyFill="1" applyBorder="1"/>
    <xf numFmtId="0" fontId="6" fillId="6" borderId="2" xfId="0" applyFont="1" applyFill="1" applyBorder="1"/>
    <xf numFmtId="0" fontId="7" fillId="6" borderId="2" xfId="0" applyFont="1" applyFill="1" applyBorder="1"/>
    <xf numFmtId="0" fontId="6" fillId="6" borderId="4" xfId="0" applyFont="1" applyFill="1" applyBorder="1"/>
    <xf numFmtId="0" fontId="8" fillId="4" borderId="5" xfId="0" applyFont="1" applyFill="1" applyBorder="1" applyAlignment="1">
      <alignment horizontal="left"/>
    </xf>
    <xf numFmtId="10" fontId="8" fillId="4" borderId="5" xfId="0" applyNumberFormat="1" applyFont="1" applyFill="1" applyBorder="1"/>
    <xf numFmtId="0" fontId="7" fillId="6" borderId="1" xfId="0" applyFont="1" applyFill="1" applyBorder="1"/>
    <xf numFmtId="0" fontId="8" fillId="4" borderId="1" xfId="0" applyFont="1" applyFill="1" applyBorder="1" applyAlignment="1">
      <alignment horizontal="left"/>
    </xf>
    <xf numFmtId="0" fontId="5" fillId="4" borderId="1" xfId="0" applyFont="1" applyFill="1" applyBorder="1" applyAlignment="1">
      <alignment horizontal="left"/>
    </xf>
    <xf numFmtId="0" fontId="10" fillId="5" borderId="0" xfId="0" applyFont="1" applyFill="1"/>
    <xf numFmtId="0" fontId="8" fillId="4" borderId="5" xfId="0" applyNumberFormat="1" applyFont="1" applyFill="1" applyBorder="1"/>
  </cellXfs>
  <cellStyles count="2">
    <cellStyle name="Normal" xfId="0" builtinId="0"/>
    <cellStyle name="Percent" xfId="1" builtinId="5"/>
  </cellStyles>
  <dxfs count="128">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theme="1"/>
        </left>
        <right style="thin">
          <color theme="1"/>
        </right>
        <top style="thin">
          <color theme="1"/>
        </top>
        <bottom style="thin">
          <color theme="1"/>
        </bottom>
        <vertical style="thin">
          <color theme="1"/>
        </vertical>
        <horizontal style="thin">
          <color theme="1"/>
        </horizontal>
      </border>
    </dxf>
    <dxf>
      <fill>
        <patternFill>
          <bgColor theme="0" tint="-4.9989318521683403E-2"/>
        </patternFill>
      </fill>
    </dxf>
    <dxf>
      <fill>
        <patternFill>
          <bgColor theme="0" tint="-4.9989318521683403E-2"/>
        </patternFill>
      </fill>
    </dxf>
    <dxf>
      <font>
        <sz val="12"/>
      </font>
    </dxf>
    <dxf>
      <font>
        <sz val="14"/>
      </font>
    </dxf>
    <dxf>
      <font>
        <color theme="7" tint="0.79998168889431442"/>
      </font>
    </dxf>
    <dxf>
      <fill>
        <patternFill>
          <bgColor theme="6" tint="-0.249977111117893"/>
        </patternFill>
      </fill>
    </dxf>
    <dxf>
      <font>
        <color theme="6" tint="0.39997558519241921"/>
      </font>
    </dxf>
    <dxf>
      <fill>
        <patternFill>
          <bgColor theme="6" tint="0.79998168889431442"/>
        </patternFill>
      </fill>
    </dxf>
    <dxf>
      <fill>
        <patternFill>
          <bgColor theme="0" tint="-4.9989318521683403E-2"/>
        </patternFill>
      </fill>
    </dxf>
    <dxf>
      <font>
        <sz val="12"/>
      </font>
    </dxf>
    <dxf>
      <font>
        <sz val="14"/>
      </font>
    </dxf>
    <dxf>
      <font>
        <sz val="14"/>
      </font>
    </dxf>
    <dxf>
      <fill>
        <patternFill>
          <bgColor theme="0" tint="-4.9989318521683403E-2"/>
        </patternFill>
      </fill>
    </dxf>
    <dxf>
      <border>
        <right style="thin">
          <color theme="1"/>
        </right>
      </border>
    </dxf>
    <dxf>
      <font>
        <color theme="7" tint="0.79998168889431442"/>
      </font>
    </dxf>
    <dxf>
      <font>
        <color theme="7" tint="0.79998168889431442"/>
      </font>
    </dxf>
    <dxf>
      <fill>
        <patternFill>
          <bgColor theme="6" tint="-0.249977111117893"/>
        </patternFill>
      </fill>
    </dxf>
    <dxf>
      <fill>
        <patternFill>
          <bgColor theme="6" tint="-0.249977111117893"/>
        </patternFill>
      </fill>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theme="1"/>
        </left>
        <right style="thin">
          <color theme="1"/>
        </right>
        <top style="thin">
          <color theme="1"/>
        </top>
        <bottom style="thin">
          <color theme="1"/>
        </bottom>
        <vertical style="thin">
          <color theme="1"/>
        </vertical>
        <horizontal style="thin">
          <color theme="1"/>
        </horizontal>
      </border>
    </dxf>
    <dxf>
      <fill>
        <patternFill>
          <bgColor theme="0" tint="-4.9989318521683403E-2"/>
        </patternFill>
      </fill>
    </dxf>
    <dxf>
      <fill>
        <patternFill>
          <bgColor theme="0" tint="-4.9989318521683403E-2"/>
        </patternFill>
      </fill>
    </dxf>
    <dxf>
      <font>
        <sz val="12"/>
      </font>
    </dxf>
    <dxf>
      <font>
        <sz val="14"/>
      </font>
    </dxf>
    <dxf>
      <font>
        <sz val="14"/>
      </font>
    </dxf>
    <dxf>
      <font>
        <sz val="12"/>
      </font>
    </dxf>
    <dxf>
      <font>
        <b val="0"/>
      </font>
    </dxf>
    <dxf>
      <font>
        <color theme="1" tint="0.14999847407452621"/>
      </font>
    </dxf>
    <dxf>
      <fill>
        <patternFill>
          <bgColor theme="0" tint="-4.9989318521683403E-2"/>
        </patternFill>
      </fill>
    </dxf>
    <dxf>
      <fill>
        <patternFill>
          <bgColor theme="0" tint="-4.9989318521683403E-2"/>
        </patternFill>
      </fill>
    </dxf>
    <dxf>
      <border>
        <right style="thin">
          <color theme="1"/>
        </right>
      </border>
    </dxf>
    <dxf>
      <border>
        <right style="thin">
          <color theme="1"/>
        </right>
      </border>
    </dxf>
    <dxf>
      <font>
        <color theme="7" tint="0.79998168889431442"/>
      </font>
    </dxf>
    <dxf>
      <font>
        <color theme="7" tint="0.79998168889431442"/>
      </font>
    </dxf>
    <dxf>
      <fill>
        <patternFill>
          <bgColor theme="6" tint="-0.249977111117893"/>
        </patternFill>
      </fill>
    </dxf>
    <dxf>
      <fill>
        <patternFill>
          <bgColor theme="6" tint="-0.249977111117893"/>
        </patternFill>
      </fill>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fill>
        <patternFill>
          <bgColor theme="0" tint="-4.9989318521683403E-2"/>
        </patternFill>
      </fill>
    </dxf>
    <dxf>
      <fill>
        <patternFill>
          <bgColor theme="0" tint="-4.9989318521683403E-2"/>
        </patternFill>
      </fill>
    </dxf>
    <dxf>
      <font>
        <sz val="12"/>
      </font>
    </dxf>
    <dxf>
      <font>
        <sz val="12"/>
      </font>
    </dxf>
    <dxf>
      <font>
        <sz val="14"/>
      </font>
    </dxf>
    <dxf>
      <font>
        <sz val="14"/>
      </font>
    </dxf>
    <dxf>
      <fill>
        <patternFill>
          <bgColor theme="0" tint="-4.9989318521683403E-2"/>
        </patternFill>
      </fill>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font>
        <color theme="7" tint="0.79998168889431442"/>
      </font>
    </dxf>
    <dxf>
      <font>
        <color theme="7" tint="0.79998168889431442"/>
      </font>
    </dxf>
    <dxf>
      <fill>
        <patternFill>
          <bgColor theme="6" tint="-0.249977111117893"/>
        </patternFill>
      </fill>
    </dxf>
    <dxf>
      <fill>
        <patternFill>
          <bgColor theme="6" tint="-0.249977111117893"/>
        </patternFill>
      </fill>
    </dxf>
    <dxf>
      <fill>
        <patternFill>
          <bgColor theme="0" tint="-4.9989318521683403E-2"/>
        </patternFill>
      </fill>
    </dxf>
    <dxf>
      <fill>
        <patternFill>
          <bgColor theme="0" tint="-4.9989318521683403E-2"/>
        </patternFill>
      </fill>
    </dxf>
    <dxf>
      <border>
        <left style="medium">
          <color theme="0" tint="-0.14999847407452621"/>
        </left>
        <right style="medium">
          <color theme="0" tint="-0.14999847407452621"/>
        </right>
        <top style="medium">
          <color theme="0" tint="-0.14999847407452621"/>
        </top>
        <bottom style="medium">
          <color theme="0" tint="-0.14999847407452621"/>
        </bottom>
      </border>
    </dxf>
    <dxf>
      <border>
        <left style="medium">
          <color theme="0" tint="-0.14999847407452621"/>
        </left>
        <right style="medium">
          <color theme="0" tint="-0.14999847407452621"/>
        </right>
        <top style="medium">
          <color theme="0" tint="-0.14999847407452621"/>
        </top>
        <bottom style="medium">
          <color theme="0" tint="-0.14999847407452621"/>
        </bottom>
      </border>
    </dxf>
    <dxf>
      <border>
        <left style="medium">
          <color theme="0" tint="-0.14999847407452621"/>
        </left>
        <right style="medium">
          <color theme="0" tint="-0.14999847407452621"/>
        </right>
        <top style="medium">
          <color theme="0" tint="-0.14999847407452621"/>
        </top>
        <bottom style="medium">
          <color theme="0" tint="-0.14999847407452621"/>
        </bottom>
      </border>
    </dxf>
    <dxf>
      <border>
        <left style="medium">
          <color theme="0" tint="-0.14999847407452621"/>
        </left>
        <right style="medium">
          <color theme="0" tint="-0.14999847407452621"/>
        </right>
        <top style="medium">
          <color theme="0" tint="-0.14999847407452621"/>
        </top>
        <bottom style="medium">
          <color theme="0" tint="-0.14999847407452621"/>
        </bottom>
      </border>
    </dxf>
    <dxf>
      <border>
        <left style="medium">
          <color theme="0" tint="-0.14999847407452621"/>
        </left>
        <right style="medium">
          <color theme="0" tint="-0.14999847407452621"/>
        </right>
        <top style="medium">
          <color theme="0" tint="-0.14999847407452621"/>
        </top>
        <bottom style="medium">
          <color theme="0" tint="-0.14999847407452621"/>
        </bottom>
      </border>
    </dxf>
    <dxf>
      <font>
        <b/>
      </font>
    </dxf>
    <dxf>
      <font>
        <b/>
      </font>
    </dxf>
    <dxf>
      <font>
        <color theme="1" tint="0.249977111117893"/>
      </font>
    </dxf>
    <dxf>
      <font>
        <color theme="1" tint="0.249977111117893"/>
      </font>
    </dxf>
    <dxf>
      <fill>
        <patternFill>
          <bgColor theme="6" tint="0.39997558519241921"/>
        </patternFill>
      </fill>
    </dxf>
    <dxf>
      <fill>
        <patternFill>
          <bgColor theme="6" tint="0.399975585192419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theme="1"/>
        </left>
        <right style="thin">
          <color theme="1"/>
        </right>
        <top style="thin">
          <color theme="1"/>
        </top>
        <bottom style="thin">
          <color theme="1"/>
        </bottom>
        <vertical style="thin">
          <color theme="1"/>
        </vertical>
        <horizontal style="thin">
          <color theme="1"/>
        </horizontal>
      </border>
    </dxf>
    <dxf>
      <fill>
        <patternFill>
          <bgColor theme="0" tint="-4.9989318521683403E-2"/>
        </patternFill>
      </fill>
    </dxf>
    <dxf>
      <fill>
        <patternFill>
          <bgColor theme="0" tint="-4.9989318521683403E-2"/>
        </patternFill>
      </fill>
    </dxf>
    <dxf>
      <fill>
        <patternFill>
          <bgColor theme="0" tint="-4.9989318521683403E-2"/>
        </patternFill>
      </fill>
    </dxf>
    <dxf>
      <font>
        <sz val="12"/>
      </font>
    </dxf>
    <dxf>
      <fill>
        <patternFill>
          <bgColor theme="6" tint="0.79998168889431442"/>
        </patternFill>
      </fill>
    </dxf>
    <dxf>
      <font>
        <sz val="14"/>
      </font>
    </dxf>
    <dxf>
      <font>
        <color theme="7" tint="0.79998168889431442"/>
      </font>
    </dxf>
    <dxf>
      <fill>
        <patternFill>
          <bgColor theme="6" tint="-0.249977111117893"/>
        </patternFill>
      </fill>
    </dxf>
    <dxf>
      <font>
        <color theme="6" tint="0.39997558519241921"/>
      </font>
    </dxf>
    <dxf>
      <fill>
        <patternFill>
          <bgColor theme="6" tint="0.79998168889431442"/>
        </patternFill>
      </fill>
    </dxf>
    <dxf>
      <fill>
        <patternFill>
          <bgColor theme="0" tint="-4.9989318521683403E-2"/>
        </patternFill>
      </fill>
    </dxf>
    <dxf>
      <font>
        <sz val="12"/>
      </font>
    </dxf>
    <dxf>
      <font>
        <sz val="14"/>
      </font>
    </dxf>
    <dxf>
      <font>
        <sz val="14"/>
      </font>
    </dxf>
    <dxf>
      <fill>
        <patternFill>
          <bgColor theme="0" tint="-4.9989318521683403E-2"/>
        </patternFill>
      </fill>
    </dxf>
    <dxf>
      <border>
        <right style="thin">
          <color theme="1"/>
        </right>
      </border>
    </dxf>
    <dxf>
      <font>
        <color theme="7" tint="0.79998168889431442"/>
      </font>
    </dxf>
    <dxf>
      <font>
        <color theme="7" tint="0.79998168889431442"/>
      </font>
    </dxf>
    <dxf>
      <fill>
        <patternFill>
          <bgColor theme="6" tint="-0.249977111117893"/>
        </patternFill>
      </fill>
    </dxf>
    <dxf>
      <fill>
        <patternFill>
          <bgColor theme="6" tint="-0.249977111117893"/>
        </patternFill>
      </fill>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border>
        <left style="medium">
          <color theme="1"/>
        </left>
        <right style="medium">
          <color theme="1"/>
        </right>
        <top style="medium">
          <color theme="1"/>
        </top>
        <bottom style="medium">
          <color theme="1"/>
        </bottom>
      </border>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b/>
        <i val="0"/>
        <sz val="14"/>
        <color theme="7" tint="0.39994506668294322"/>
      </font>
      <fill>
        <patternFill>
          <bgColor theme="6" tint="-0.24994659260841701"/>
        </patternFill>
      </fill>
    </dxf>
    <dxf>
      <font>
        <color theme="6" tint="-0.24994659260841701"/>
      </font>
      <fill>
        <patternFill>
          <bgColor theme="6" tint="0.3999450666829432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27"/>
    </tableStyle>
    <tableStyle name="Slicer Style 2" pivot="0" table="0" count="6" xr9:uid="{B04E3FDB-47F5-41F1-BAC8-0E70D0D9783C}">
      <tableStyleElement type="wholeTable" dxfId="126"/>
      <tableStyleElement type="headerRow" dxfId="125"/>
    </tableStyle>
  </tableStyles>
  <extLst>
    <ext xmlns:x14="http://schemas.microsoft.com/office/spreadsheetml/2009/9/main" uri="{46F421CA-312F-682f-3DD2-61675219B42D}">
      <x14:dxfs count="8">
        <dxf>
          <font>
            <b/>
            <i val="0"/>
            <color theme="1" tint="4.9989318521683403E-2"/>
          </font>
          <fill>
            <patternFill>
              <bgColor theme="0" tint="-0.499984740745262"/>
            </patternFill>
          </fill>
        </dxf>
        <dxf>
          <font>
            <b/>
            <i val="0"/>
            <color theme="7" tint="0.79998168889431442"/>
          </font>
          <fill>
            <patternFill>
              <bgColor theme="1" tint="0.34998626667073579"/>
            </patternFill>
          </fill>
        </dxf>
        <dxf>
          <font>
            <b/>
            <i val="0"/>
            <color theme="7" tint="0.59996337778862885"/>
          </font>
          <fill>
            <patternFill>
              <bgColor theme="1" tint="0.24994659260841701"/>
            </patternFill>
          </fill>
        </dxf>
        <dxf>
          <font>
            <b/>
            <i val="0"/>
            <color theme="3" tint="-0.499984740745262"/>
          </font>
          <fill>
            <patternFill>
              <bgColor theme="6"/>
            </patternFill>
          </fill>
          <border>
            <left style="thick">
              <color theme="1" tint="4.9989318521683403E-2"/>
            </left>
            <right style="thick">
              <color theme="1" tint="4.9989318521683403E-2"/>
            </right>
            <top style="thick">
              <color theme="1" tint="4.9989318521683403E-2"/>
            </top>
            <bottom style="thick">
              <color theme="1" tint="4.9989318521683403E-2"/>
            </bottom>
          </border>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[Dash_Project.xlsm]DashBoard!PivotTable1</c:name>
    <c:fmtId val="10"/>
  </c:pivotSource>
  <c:chart>
    <c:autoTitleDeleted val="1"/>
    <c:pivotFmts>
      <c:pivotFmt>
        <c:idx val="0"/>
        <c:spPr>
          <a:solidFill>
            <a:schemeClr val="accent4">
              <a:lumMod val="20000"/>
              <a:lumOff val="8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DashBoard!$C$6</c:f>
              <c:strCache>
                <c:ptCount val="1"/>
                <c:pt idx="0">
                  <c:v>Total</c:v>
                </c:pt>
              </c:strCache>
            </c:strRef>
          </c:tx>
          <c:spPr>
            <a:solidFill>
              <a:schemeClr val="accent4">
                <a:lumMod val="20000"/>
                <a:lumOff val="8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DashBoard!$B$7:$B$12</c:f>
              <c:strCache>
                <c:ptCount val="6"/>
                <c:pt idx="0">
                  <c:v>Anikuttan</c:v>
                </c:pt>
                <c:pt idx="1">
                  <c:v>Arvind Sharma</c:v>
                </c:pt>
                <c:pt idx="2">
                  <c:v>Jagdish Chandra</c:v>
                </c:pt>
                <c:pt idx="3">
                  <c:v>Miny Mole</c:v>
                </c:pt>
                <c:pt idx="4">
                  <c:v>Rachita Anupam</c:v>
                </c:pt>
                <c:pt idx="5">
                  <c:v>Surendra Kumar</c:v>
                </c:pt>
              </c:strCache>
            </c:strRef>
          </c:cat>
          <c:val>
            <c:numRef>
              <c:f>DashBoard!$C$7:$C$12</c:f>
              <c:numCache>
                <c:formatCode>General</c:formatCode>
                <c:ptCount val="6"/>
                <c:pt idx="0">
                  <c:v>382</c:v>
                </c:pt>
                <c:pt idx="1">
                  <c:v>379</c:v>
                </c:pt>
                <c:pt idx="2">
                  <c:v>389</c:v>
                </c:pt>
                <c:pt idx="3">
                  <c:v>384</c:v>
                </c:pt>
                <c:pt idx="4">
                  <c:v>385</c:v>
                </c:pt>
                <c:pt idx="5">
                  <c:v>376</c:v>
                </c:pt>
              </c:numCache>
            </c:numRef>
          </c:val>
          <c:extLst>
            <c:ext xmlns:c16="http://schemas.microsoft.com/office/drawing/2014/chart" uri="{C3380CC4-5D6E-409C-BE32-E72D297353CC}">
              <c16:uniqueId val="{00000000-A293-4A73-B740-9544A2B3EAEE}"/>
            </c:ext>
          </c:extLst>
        </c:ser>
        <c:dLbls>
          <c:dLblPos val="outEnd"/>
          <c:showLegendKey val="0"/>
          <c:showVal val="1"/>
          <c:showCatName val="0"/>
          <c:showSerName val="0"/>
          <c:showPercent val="0"/>
          <c:showBubbleSize val="0"/>
        </c:dLbls>
        <c:gapWidth val="182"/>
        <c:axId val="1156091215"/>
        <c:axId val="1156075375"/>
      </c:barChart>
      <c:catAx>
        <c:axId val="11560912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156075375"/>
        <c:crosses val="autoZero"/>
        <c:auto val="1"/>
        <c:lblAlgn val="ctr"/>
        <c:lblOffset val="100"/>
        <c:noMultiLvlLbl val="0"/>
      </c:catAx>
      <c:valAx>
        <c:axId val="1156075375"/>
        <c:scaling>
          <c:orientation val="minMax"/>
        </c:scaling>
        <c:delete val="1"/>
        <c:axPos val="b"/>
        <c:numFmt formatCode="General" sourceLinked="1"/>
        <c:majorTickMark val="none"/>
        <c:minorTickMark val="none"/>
        <c:tickLblPos val="nextTo"/>
        <c:crossAx val="1156091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solidFill>
            <a:schemeClr val="tx1">
              <a:lumMod val="95000"/>
              <a:lumOff val="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[Dash_Project.xlsm]DashBoard!PivotTable2</c:name>
    <c:fmtId val="0"/>
  </c:pivotSource>
  <c:chart>
    <c:autoTitleDeleted val="1"/>
    <c:pivotFmts>
      <c:pivotFmt>
        <c:idx val="0"/>
        <c:spPr>
          <a:solidFill>
            <a:schemeClr val="accent4">
              <a:lumMod val="20000"/>
              <a:lumOff val="8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DashBoard!$F$6</c:f>
              <c:strCache>
                <c:ptCount val="1"/>
                <c:pt idx="0">
                  <c:v>Total</c:v>
                </c:pt>
              </c:strCache>
            </c:strRef>
          </c:tx>
          <c:spPr>
            <a:solidFill>
              <a:schemeClr val="accent4">
                <a:lumMod val="20000"/>
                <a:lumOff val="8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DashBoard!$E$7:$E$12</c:f>
              <c:strCache>
                <c:ptCount val="6"/>
                <c:pt idx="0">
                  <c:v>Sapna Sharma</c:v>
                </c:pt>
                <c:pt idx="1">
                  <c:v>Prabha Desikan</c:v>
                </c:pt>
                <c:pt idx="2">
                  <c:v>Praveen Kumar</c:v>
                </c:pt>
                <c:pt idx="3">
                  <c:v>Dinesh Kumar</c:v>
                </c:pt>
                <c:pt idx="4">
                  <c:v>Pankaj Shelkey</c:v>
                </c:pt>
                <c:pt idx="5">
                  <c:v>Omprakash O</c:v>
                </c:pt>
              </c:strCache>
            </c:strRef>
          </c:cat>
          <c:val>
            <c:numRef>
              <c:f>DashBoard!$F$7:$F$12</c:f>
              <c:numCache>
                <c:formatCode>General</c:formatCode>
                <c:ptCount val="6"/>
                <c:pt idx="0">
                  <c:v>176</c:v>
                </c:pt>
                <c:pt idx="1">
                  <c:v>171</c:v>
                </c:pt>
                <c:pt idx="2">
                  <c:v>166</c:v>
                </c:pt>
                <c:pt idx="3">
                  <c:v>166</c:v>
                </c:pt>
                <c:pt idx="4">
                  <c:v>156</c:v>
                </c:pt>
                <c:pt idx="5">
                  <c:v>143</c:v>
                </c:pt>
              </c:numCache>
            </c:numRef>
          </c:val>
          <c:extLst>
            <c:ext xmlns:c16="http://schemas.microsoft.com/office/drawing/2014/chart" uri="{C3380CC4-5D6E-409C-BE32-E72D297353CC}">
              <c16:uniqueId val="{00000000-81E2-4EB9-841E-FF1CE524FB4B}"/>
            </c:ext>
          </c:extLst>
        </c:ser>
        <c:dLbls>
          <c:dLblPos val="outEnd"/>
          <c:showLegendKey val="0"/>
          <c:showVal val="1"/>
          <c:showCatName val="0"/>
          <c:showSerName val="0"/>
          <c:showPercent val="0"/>
          <c:showBubbleSize val="0"/>
        </c:dLbls>
        <c:gapWidth val="219"/>
        <c:overlap val="-27"/>
        <c:axId val="1931841439"/>
        <c:axId val="1931843839"/>
      </c:barChart>
      <c:catAx>
        <c:axId val="1931841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931843839"/>
        <c:crosses val="autoZero"/>
        <c:auto val="1"/>
        <c:lblAlgn val="ctr"/>
        <c:lblOffset val="100"/>
        <c:noMultiLvlLbl val="0"/>
      </c:catAx>
      <c:valAx>
        <c:axId val="19318438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931841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solidFill>
            <a:schemeClr val="tx1">
              <a:lumMod val="95000"/>
              <a:lumOff val="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[Dash_Project.xlsm]DashBoard!PivotTable3</c:name>
    <c:fmtId val="0"/>
  </c:pivotSource>
  <c:chart>
    <c:autoTitleDeleted val="1"/>
    <c:pivotFmts>
      <c:pivotFmt>
        <c:idx val="0"/>
        <c:spPr>
          <a:ln w="28575" cap="rnd">
            <a:solidFill>
              <a:schemeClr val="accent4">
                <a:lumMod val="20000"/>
                <a:lumOff val="8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DashBoard!$I$6</c:f>
              <c:strCache>
                <c:ptCount val="1"/>
                <c:pt idx="0">
                  <c:v>Total</c:v>
                </c:pt>
              </c:strCache>
            </c:strRef>
          </c:tx>
          <c:spPr>
            <a:ln w="28575" cap="rnd">
              <a:solidFill>
                <a:schemeClr val="accent4">
                  <a:lumMod val="20000"/>
                  <a:lumOff val="80000"/>
                </a:schemeClr>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DashBoard!$H$7:$H$12</c:f>
              <c:strCache>
                <c:ptCount val="6"/>
                <c:pt idx="0">
                  <c:v>Anikuttan</c:v>
                </c:pt>
                <c:pt idx="1">
                  <c:v>Arvind Sharma</c:v>
                </c:pt>
                <c:pt idx="2">
                  <c:v>Jagdish Chandra</c:v>
                </c:pt>
                <c:pt idx="3">
                  <c:v>Miny Mole</c:v>
                </c:pt>
                <c:pt idx="4">
                  <c:v>Rachita Anupam</c:v>
                </c:pt>
                <c:pt idx="5">
                  <c:v>Surendra Kumar</c:v>
                </c:pt>
              </c:strCache>
            </c:strRef>
          </c:cat>
          <c:val>
            <c:numRef>
              <c:f>DashBoard!$I$7:$I$12</c:f>
              <c:numCache>
                <c:formatCode>0.00%</c:formatCode>
                <c:ptCount val="6"/>
                <c:pt idx="0">
                  <c:v>0.76400000000000001</c:v>
                </c:pt>
                <c:pt idx="1">
                  <c:v>0.75800000000000001</c:v>
                </c:pt>
                <c:pt idx="2">
                  <c:v>0.77800000000000002</c:v>
                </c:pt>
                <c:pt idx="3">
                  <c:v>0.76800000000000002</c:v>
                </c:pt>
                <c:pt idx="4">
                  <c:v>0.77</c:v>
                </c:pt>
                <c:pt idx="5">
                  <c:v>0.752</c:v>
                </c:pt>
              </c:numCache>
            </c:numRef>
          </c:val>
          <c:smooth val="0"/>
          <c:extLst>
            <c:ext xmlns:c16="http://schemas.microsoft.com/office/drawing/2014/chart" uri="{C3380CC4-5D6E-409C-BE32-E72D297353CC}">
              <c16:uniqueId val="{00000000-7626-4645-B134-BA80A23D1C30}"/>
            </c:ext>
          </c:extLst>
        </c:ser>
        <c:dLbls>
          <c:dLblPos val="t"/>
          <c:showLegendKey val="0"/>
          <c:showVal val="1"/>
          <c:showCatName val="0"/>
          <c:showSerName val="0"/>
          <c:showPercent val="0"/>
          <c:showBubbleSize val="0"/>
        </c:dLbls>
        <c:marker val="1"/>
        <c:smooth val="0"/>
        <c:axId val="1931788159"/>
        <c:axId val="1931804959"/>
      </c:lineChart>
      <c:catAx>
        <c:axId val="193178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931804959"/>
        <c:crosses val="autoZero"/>
        <c:auto val="1"/>
        <c:lblAlgn val="ctr"/>
        <c:lblOffset val="100"/>
        <c:noMultiLvlLbl val="0"/>
      </c:catAx>
      <c:valAx>
        <c:axId val="1931804959"/>
        <c:scaling>
          <c:orientation val="minMax"/>
        </c:scaling>
        <c:delete val="0"/>
        <c:axPos val="l"/>
        <c:majorGridlines>
          <c:spPr>
            <a:ln w="9525" cap="flat" cmpd="sng" algn="ctr">
              <a:solidFill>
                <a:schemeClr val="bg1">
                  <a:lumMod val="6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931788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solidFill>
            <a:schemeClr val="tx1">
              <a:lumMod val="95000"/>
              <a:lumOff val="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[Dash_Project.xlsm]DashBoard!PivotTable5</c:name>
    <c:fmtId val="0"/>
  </c:pivotSource>
  <c:chart>
    <c:autoTitleDeleted val="1"/>
    <c:pivotFmts>
      <c:pivotFmt>
        <c:idx val="0"/>
        <c:spPr>
          <a:ln w="28575" cap="rnd">
            <a:solidFill>
              <a:schemeClr val="accent4">
                <a:lumMod val="20000"/>
                <a:lumOff val="8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DashBoard!$L$6</c:f>
              <c:strCache>
                <c:ptCount val="1"/>
                <c:pt idx="0">
                  <c:v>Total</c:v>
                </c:pt>
              </c:strCache>
            </c:strRef>
          </c:tx>
          <c:spPr>
            <a:ln w="28575" cap="rnd">
              <a:solidFill>
                <a:schemeClr val="accent4">
                  <a:lumMod val="20000"/>
                  <a:lumOff val="80000"/>
                </a:schemeClr>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DashBoard!$K$7:$K$12</c:f>
              <c:strCache>
                <c:ptCount val="6"/>
                <c:pt idx="0">
                  <c:v>Dinesh Kumar</c:v>
                </c:pt>
                <c:pt idx="1">
                  <c:v>Omprakash O</c:v>
                </c:pt>
                <c:pt idx="2">
                  <c:v>Pankaj Shelkey</c:v>
                </c:pt>
                <c:pt idx="3">
                  <c:v>Prabha Desikan</c:v>
                </c:pt>
                <c:pt idx="4">
                  <c:v>Praveen Kumar</c:v>
                </c:pt>
                <c:pt idx="5">
                  <c:v>Sapna Sharma</c:v>
                </c:pt>
              </c:strCache>
            </c:strRef>
          </c:cat>
          <c:val>
            <c:numRef>
              <c:f>DashBoard!$L$7:$L$12</c:f>
              <c:numCache>
                <c:formatCode>0.00%</c:formatCode>
                <c:ptCount val="6"/>
                <c:pt idx="0">
                  <c:v>0.66799999999999993</c:v>
                </c:pt>
                <c:pt idx="1">
                  <c:v>0.71399999999999997</c:v>
                </c:pt>
                <c:pt idx="2">
                  <c:v>0.68799999999999994</c:v>
                </c:pt>
                <c:pt idx="3">
                  <c:v>0.65799999999999992</c:v>
                </c:pt>
                <c:pt idx="4">
                  <c:v>0.66799999999999993</c:v>
                </c:pt>
                <c:pt idx="5">
                  <c:v>0.64800000000000002</c:v>
                </c:pt>
              </c:numCache>
            </c:numRef>
          </c:val>
          <c:smooth val="0"/>
          <c:extLst>
            <c:ext xmlns:c16="http://schemas.microsoft.com/office/drawing/2014/chart" uri="{C3380CC4-5D6E-409C-BE32-E72D297353CC}">
              <c16:uniqueId val="{00000000-85A3-4AB4-860C-1E430D075935}"/>
            </c:ext>
          </c:extLst>
        </c:ser>
        <c:dLbls>
          <c:dLblPos val="t"/>
          <c:showLegendKey val="0"/>
          <c:showVal val="1"/>
          <c:showCatName val="0"/>
          <c:showSerName val="0"/>
          <c:showPercent val="0"/>
          <c:showBubbleSize val="0"/>
        </c:dLbls>
        <c:marker val="1"/>
        <c:smooth val="0"/>
        <c:axId val="75345231"/>
        <c:axId val="75340431"/>
      </c:lineChart>
      <c:catAx>
        <c:axId val="7534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75340431"/>
        <c:crosses val="autoZero"/>
        <c:auto val="1"/>
        <c:lblAlgn val="ctr"/>
        <c:lblOffset val="100"/>
        <c:noMultiLvlLbl val="0"/>
      </c:catAx>
      <c:valAx>
        <c:axId val="75340431"/>
        <c:scaling>
          <c:orientation val="minMax"/>
        </c:scaling>
        <c:delete val="0"/>
        <c:axPos val="l"/>
        <c:majorGridlines>
          <c:spPr>
            <a:ln w="9525" cap="flat" cmpd="sng" algn="ctr">
              <a:solidFill>
                <a:schemeClr val="bg1">
                  <a:lumMod val="6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75345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solidFill>
            <a:schemeClr val="tx1">
              <a:lumMod val="95000"/>
              <a:lumOff val="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3" noThreeD="1"/>
</file>

<file path=xl/ctrlProps/ctrlProp2.xml><?xml version="1.0" encoding="utf-8"?>
<formControlPr xmlns="http://schemas.microsoft.com/office/spreadsheetml/2009/9/main" objectType="CheckBox" checked="Checked" fmlaLink="$H$3" noThreeD="1"/>
</file>

<file path=xl/ctrlProps/ctrlProp3.xml><?xml version="1.0" encoding="utf-8"?>
<formControlPr xmlns="http://schemas.microsoft.com/office/spreadsheetml/2009/9/main" objectType="CheckBox" checked="Checked" fmlaLink="$E$3" lockText="1" noThreeD="1"/>
</file>

<file path=xl/ctrlProps/ctrlProp4.xml><?xml version="1.0" encoding="utf-8"?>
<formControlPr xmlns="http://schemas.microsoft.com/office/spreadsheetml/2009/9/main" objectType="CheckBox" checked="Checked" fmlaLink="$K$3"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7034</xdr:colOff>
      <xdr:row>5</xdr:row>
      <xdr:rowOff>7036</xdr:rowOff>
    </xdr:from>
    <xdr:to>
      <xdr:col>15</xdr:col>
      <xdr:colOff>1</xdr:colOff>
      <xdr:row>10</xdr:row>
      <xdr:rowOff>126610</xdr:rowOff>
    </xdr:to>
    <xdr:sp macro="" textlink="">
      <xdr:nvSpPr>
        <xdr:cNvPr id="2" name="Rectangle 1">
          <a:extLst>
            <a:ext uri="{FF2B5EF4-FFF2-40B4-BE49-F238E27FC236}">
              <a16:creationId xmlns:a16="http://schemas.microsoft.com/office/drawing/2014/main" id="{3CFA8269-C455-193A-1E80-D7F7B5A8C315}"/>
            </a:ext>
          </a:extLst>
        </xdr:cNvPr>
        <xdr:cNvSpPr/>
      </xdr:nvSpPr>
      <xdr:spPr>
        <a:xfrm>
          <a:off x="11366696" y="738556"/>
          <a:ext cx="2032782" cy="1033974"/>
        </a:xfrm>
        <a:prstGeom prst="rect">
          <a:avLst/>
        </a:prstGeom>
        <a:solidFill>
          <a:schemeClr val="bg2"/>
        </a:solidFill>
        <a:ln w="15875">
          <a:solidFill>
            <a:schemeClr val="bg1"/>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1400" b="1">
              <a:solidFill>
                <a:sysClr val="windowText" lastClr="000000"/>
              </a:solidFill>
            </a:rPr>
            <a:t>Select Box To apply</a:t>
          </a:r>
        </a:p>
      </xdr:txBody>
    </xdr:sp>
    <xdr:clientData/>
  </xdr:twoCellAnchor>
  <mc:AlternateContent xmlns:mc="http://schemas.openxmlformats.org/markup-compatibility/2006">
    <mc:Choice xmlns:a14="http://schemas.microsoft.com/office/drawing/2010/main" Requires="a14">
      <xdr:twoCellAnchor editAs="oneCell">
        <xdr:from>
          <xdr:col>13</xdr:col>
          <xdr:colOff>98474</xdr:colOff>
          <xdr:row>6</xdr:row>
          <xdr:rowOff>154745</xdr:rowOff>
        </xdr:from>
        <xdr:to>
          <xdr:col>13</xdr:col>
          <xdr:colOff>998806</xdr:colOff>
          <xdr:row>7</xdr:row>
          <xdr:rowOff>182880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98474</xdr:colOff>
          <xdr:row>8</xdr:row>
          <xdr:rowOff>126609</xdr:rowOff>
        </xdr:from>
        <xdr:to>
          <xdr:col>13</xdr:col>
          <xdr:colOff>998806</xdr:colOff>
          <xdr:row>9</xdr:row>
          <xdr:rowOff>154745</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98474</xdr:colOff>
          <xdr:row>6</xdr:row>
          <xdr:rowOff>161778</xdr:rowOff>
        </xdr:from>
        <xdr:to>
          <xdr:col>14</xdr:col>
          <xdr:colOff>998806</xdr:colOff>
          <xdr:row>7</xdr:row>
          <xdr:rowOff>189914</xdr:rowOff>
        </xdr:to>
        <xdr:sp macro="" textlink="">
          <xdr:nvSpPr>
            <xdr:cNvPr id="3076" name="Check Box 4" descr="DashBoard 2"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98474</xdr:colOff>
          <xdr:row>8</xdr:row>
          <xdr:rowOff>126609</xdr:rowOff>
        </xdr:from>
        <xdr:to>
          <xdr:col>14</xdr:col>
          <xdr:colOff>998806</xdr:colOff>
          <xdr:row>9</xdr:row>
          <xdr:rowOff>154745</xdr:rowOff>
        </xdr:to>
        <xdr:sp macro="" textlink="">
          <xdr:nvSpPr>
            <xdr:cNvPr id="3077" name="Check Box 5" descr="DashBoard 4"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fLocksWithSheet="0"/>
      </xdr:twoCellAnchor>
    </mc:Choice>
    <mc:Fallback/>
  </mc:AlternateContent>
  <xdr:twoCellAnchor editAs="oneCell">
    <xdr:from>
      <xdr:col>1</xdr:col>
      <xdr:colOff>14066</xdr:colOff>
      <xdr:row>1</xdr:row>
      <xdr:rowOff>14067</xdr:rowOff>
    </xdr:from>
    <xdr:to>
      <xdr:col>13</xdr:col>
      <xdr:colOff>34521</xdr:colOff>
      <xdr:row>2</xdr:row>
      <xdr:rowOff>28136</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6ACB6A99-DEC0-D4E4-4D95-3131AEFA648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44657" y="309489"/>
              <a:ext cx="12485077" cy="7244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17882</xdr:colOff>
      <xdr:row>13</xdr:row>
      <xdr:rowOff>95375</xdr:rowOff>
    </xdr:from>
    <xdr:to>
      <xdr:col>3</xdr:col>
      <xdr:colOff>23843</xdr:colOff>
      <xdr:row>25</xdr:row>
      <xdr:rowOff>131736</xdr:rowOff>
    </xdr:to>
    <xdr:graphicFrame macro="">
      <xdr:nvGraphicFramePr>
        <xdr:cNvPr id="4" name="Chart 3">
          <a:extLst>
            <a:ext uri="{FF2B5EF4-FFF2-40B4-BE49-F238E27FC236}">
              <a16:creationId xmlns:a16="http://schemas.microsoft.com/office/drawing/2014/main" id="{F9314503-4BBD-5175-4909-19FB84E60C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17883</xdr:colOff>
      <xdr:row>13</xdr:row>
      <xdr:rowOff>112661</xdr:rowOff>
    </xdr:from>
    <xdr:to>
      <xdr:col>6</xdr:col>
      <xdr:colOff>23844</xdr:colOff>
      <xdr:row>25</xdr:row>
      <xdr:rowOff>154983</xdr:rowOff>
    </xdr:to>
    <xdr:graphicFrame macro="">
      <xdr:nvGraphicFramePr>
        <xdr:cNvPr id="5" name="Chart 4">
          <a:extLst>
            <a:ext uri="{FF2B5EF4-FFF2-40B4-BE49-F238E27FC236}">
              <a16:creationId xmlns:a16="http://schemas.microsoft.com/office/drawing/2014/main" id="{FF5ED8FF-3A7E-92C0-7754-C4615C1592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11922</xdr:colOff>
      <xdr:row>13</xdr:row>
      <xdr:rowOff>124583</xdr:rowOff>
    </xdr:from>
    <xdr:to>
      <xdr:col>9</xdr:col>
      <xdr:colOff>35765</xdr:colOff>
      <xdr:row>25</xdr:row>
      <xdr:rowOff>143061</xdr:rowOff>
    </xdr:to>
    <xdr:graphicFrame macro="">
      <xdr:nvGraphicFramePr>
        <xdr:cNvPr id="6" name="Chart 5">
          <a:extLst>
            <a:ext uri="{FF2B5EF4-FFF2-40B4-BE49-F238E27FC236}">
              <a16:creationId xmlns:a16="http://schemas.microsoft.com/office/drawing/2014/main" id="{7816C44D-52F4-2965-7CE2-895D6FC7E7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11920</xdr:colOff>
      <xdr:row>13</xdr:row>
      <xdr:rowOff>88817</xdr:rowOff>
    </xdr:from>
    <xdr:to>
      <xdr:col>12</xdr:col>
      <xdr:colOff>53648</xdr:colOff>
      <xdr:row>25</xdr:row>
      <xdr:rowOff>137101</xdr:rowOff>
    </xdr:to>
    <xdr:graphicFrame macro="">
      <xdr:nvGraphicFramePr>
        <xdr:cNvPr id="7" name="Chart 6">
          <a:extLst>
            <a:ext uri="{FF2B5EF4-FFF2-40B4-BE49-F238E27FC236}">
              <a16:creationId xmlns:a16="http://schemas.microsoft.com/office/drawing/2014/main" id="{4800F40A-C493-7330-2231-B32A19DAE7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deep" refreshedDate="46042.975218055559" createdVersion="8" refreshedVersion="8" minRefreshableVersion="3" recordCount="139" xr:uid="{C0BCBA45-9F18-48AE-A25E-1D21A2BBF827}">
  <cacheSource type="worksheet">
    <worksheetSource ref="A1:L140" sheet="Raw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l Kumar"/>
        <s v="Anikuttan"/>
        <s v="Anamika Gupta"/>
        <s v="Afzal Husain"/>
        <s v="Abdul Hamid"/>
        <s v="Masroor Adil" u="1"/>
        <s v="Anita Dixit" u="1"/>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802913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9">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9"/>
    <x v="87"/>
    <x v="0"/>
    <n v="72"/>
    <n v="82"/>
    <n v="58"/>
    <n v="36"/>
    <n v="33"/>
    <n v="281"/>
    <n v="500"/>
    <n v="0.56200000000000006"/>
    <n v="0.43799999999999994"/>
  </r>
  <r>
    <s v="Mum-TCL090"/>
    <x v="88"/>
    <x v="1"/>
    <n v="11"/>
    <n v="69"/>
    <n v="49"/>
    <n v="90"/>
    <n v="99"/>
    <n v="318"/>
    <n v="500"/>
    <n v="0.63600000000000001"/>
    <n v="0.36399999999999999"/>
  </r>
  <r>
    <s v="Mum-TCL091"/>
    <x v="89"/>
    <x v="2"/>
    <n v="80"/>
    <n v="73"/>
    <n v="21"/>
    <n v="72"/>
    <n v="54"/>
    <n v="300"/>
    <n v="500"/>
    <n v="0.6"/>
    <n v="0.4"/>
  </r>
  <r>
    <s v="Mum-TCL092"/>
    <x v="90"/>
    <x v="3"/>
    <n v="93"/>
    <n v="42"/>
    <n v="38"/>
    <n v="98"/>
    <n v="10"/>
    <n v="281"/>
    <n v="500"/>
    <n v="0.56200000000000006"/>
    <n v="0.43799999999999994"/>
  </r>
  <r>
    <s v="Mum-TCL093"/>
    <x v="91"/>
    <x v="4"/>
    <n v="18"/>
    <n v="80"/>
    <n v="20"/>
    <n v="32"/>
    <n v="95"/>
    <n v="245"/>
    <n v="500"/>
    <n v="0.49"/>
    <n v="0.51"/>
  </r>
  <r>
    <s v="Mum-TCL094"/>
    <x v="92"/>
    <x v="5"/>
    <n v="96"/>
    <n v="14"/>
    <n v="20"/>
    <n v="31"/>
    <n v="44"/>
    <n v="205"/>
    <n v="500"/>
    <n v="0.41"/>
    <n v="0.59000000000000008"/>
  </r>
  <r>
    <s v="Mum-TCL095"/>
    <x v="93"/>
    <x v="6"/>
    <n v="37"/>
    <n v="60"/>
    <n v="50"/>
    <n v="68"/>
    <n v="19"/>
    <n v="234"/>
    <n v="500"/>
    <n v="0.46800000000000003"/>
    <n v="0.53200000000000003"/>
  </r>
  <r>
    <s v="Mum-TCL096"/>
    <x v="94"/>
    <x v="7"/>
    <n v="35"/>
    <n v="79"/>
    <n v="17"/>
    <n v="85"/>
    <n v="16"/>
    <n v="232"/>
    <n v="500"/>
    <n v="0.46400000000000002"/>
    <n v="0.53600000000000003"/>
  </r>
  <r>
    <s v="Mum-TCL097"/>
    <x v="95"/>
    <x v="0"/>
    <n v="31"/>
    <n v="48"/>
    <n v="56"/>
    <n v="85"/>
    <n v="25"/>
    <n v="245"/>
    <n v="500"/>
    <n v="0.49"/>
    <n v="0.51"/>
  </r>
  <r>
    <s v="Mum-TCL098"/>
    <x v="96"/>
    <x v="1"/>
    <n v="23"/>
    <n v="83"/>
    <n v="86"/>
    <n v="69"/>
    <n v="25"/>
    <n v="286"/>
    <n v="500"/>
    <n v="0.57199999999999995"/>
    <n v="0.42800000000000005"/>
  </r>
  <r>
    <s v="Mum-TCL099"/>
    <x v="97"/>
    <x v="2"/>
    <n v="17"/>
    <n v="97"/>
    <n v="81"/>
    <n v="32"/>
    <n v="76"/>
    <n v="303"/>
    <n v="500"/>
    <n v="0.60599999999999998"/>
    <n v="0.39400000000000002"/>
  </r>
  <r>
    <s v="Mum-TCL100"/>
    <x v="98"/>
    <x v="3"/>
    <n v="92"/>
    <n v="45"/>
    <n v="43"/>
    <n v="91"/>
    <n v="47"/>
    <n v="318"/>
    <n v="500"/>
    <n v="0.63600000000000001"/>
    <n v="0.36399999999999999"/>
  </r>
  <r>
    <s v="Mum-TCL101"/>
    <x v="99"/>
    <x v="4"/>
    <n v="49"/>
    <n v="77"/>
    <n v="18"/>
    <n v="69"/>
    <n v="55"/>
    <n v="268"/>
    <n v="500"/>
    <n v="0.53600000000000003"/>
    <n v="0.46399999999999997"/>
  </r>
  <r>
    <s v="Mum-TCL102"/>
    <x v="100"/>
    <x v="5"/>
    <n v="81"/>
    <n v="88"/>
    <n v="19"/>
    <n v="95"/>
    <n v="39"/>
    <n v="322"/>
    <n v="500"/>
    <n v="0.64400000000000002"/>
    <n v="0.35599999999999998"/>
  </r>
  <r>
    <s v="Mum-TCL103"/>
    <x v="101"/>
    <x v="6"/>
    <n v="55"/>
    <n v="14"/>
    <n v="41"/>
    <n v="40"/>
    <n v="70"/>
    <n v="220"/>
    <n v="500"/>
    <n v="0.44"/>
    <n v="0.56000000000000005"/>
  </r>
  <r>
    <s v="Mum-TCL104"/>
    <x v="102"/>
    <x v="7"/>
    <n v="86"/>
    <n v="13"/>
    <n v="99"/>
    <n v="25"/>
    <n v="83"/>
    <n v="306"/>
    <n v="500"/>
    <n v="0.61199999999999999"/>
    <n v="0.38800000000000001"/>
  </r>
  <r>
    <s v="Mum-TCL105"/>
    <x v="103"/>
    <x v="0"/>
    <n v="88"/>
    <n v="96"/>
    <n v="16"/>
    <n v="65"/>
    <n v="86"/>
    <n v="351"/>
    <n v="500"/>
    <n v="0.70199999999999996"/>
    <n v="0.29800000000000004"/>
  </r>
  <r>
    <s v="Mum-TCL106"/>
    <x v="104"/>
    <x v="1"/>
    <n v="61"/>
    <n v="73"/>
    <n v="34"/>
    <n v="30"/>
    <n v="30"/>
    <n v="228"/>
    <n v="500"/>
    <n v="0.45600000000000002"/>
    <n v="0.54400000000000004"/>
  </r>
  <r>
    <s v="Mum-TCL107"/>
    <x v="105"/>
    <x v="2"/>
    <n v="61"/>
    <n v="91"/>
    <n v="53"/>
    <n v="78"/>
    <n v="91"/>
    <n v="374"/>
    <n v="500"/>
    <n v="0.748"/>
    <n v="0.252"/>
  </r>
  <r>
    <s v="Mum-TCL108"/>
    <x v="106"/>
    <x v="3"/>
    <n v="75"/>
    <n v="53"/>
    <n v="27"/>
    <n v="26"/>
    <n v="30"/>
    <n v="211"/>
    <n v="500"/>
    <n v="0.42199999999999999"/>
    <n v="0.57800000000000007"/>
  </r>
  <r>
    <s v="Mum-TCL109"/>
    <x v="107"/>
    <x v="4"/>
    <n v="24"/>
    <n v="31"/>
    <n v="41"/>
    <n v="57"/>
    <n v="83"/>
    <n v="236"/>
    <n v="500"/>
    <n v="0.47199999999999998"/>
    <n v="0.52800000000000002"/>
  </r>
  <r>
    <s v="Mum-TCL110"/>
    <x v="108"/>
    <x v="5"/>
    <n v="83"/>
    <n v="62"/>
    <n v="32"/>
    <n v="83"/>
    <n v="95"/>
    <n v="355"/>
    <n v="500"/>
    <n v="0.71"/>
    <n v="0.29000000000000004"/>
  </r>
  <r>
    <s v="Mum-TCL111"/>
    <x v="109"/>
    <x v="6"/>
    <n v="39"/>
    <n v="52"/>
    <n v="72"/>
    <n v="99"/>
    <n v="58"/>
    <n v="320"/>
    <n v="500"/>
    <n v="0.64"/>
    <n v="0.36"/>
  </r>
  <r>
    <s v="Mum-TCL112"/>
    <x v="110"/>
    <x v="7"/>
    <n v="93"/>
    <n v="74"/>
    <n v="85"/>
    <n v="47"/>
    <n v="90"/>
    <n v="389"/>
    <n v="500"/>
    <n v="0.77800000000000002"/>
    <n v="0.22199999999999998"/>
  </r>
  <r>
    <s v="Mum-TCL113"/>
    <x v="111"/>
    <x v="0"/>
    <n v="43"/>
    <n v="88"/>
    <n v="35"/>
    <n v="54"/>
    <n v="91"/>
    <n v="311"/>
    <n v="500"/>
    <n v="0.622"/>
    <n v="0.378"/>
  </r>
  <r>
    <s v="Mum-TCL114"/>
    <x v="112"/>
    <x v="1"/>
    <n v="87"/>
    <n v="15"/>
    <n v="11"/>
    <n v="42"/>
    <n v="88"/>
    <n v="243"/>
    <n v="500"/>
    <n v="0.48599999999999999"/>
    <n v="0.51400000000000001"/>
  </r>
  <r>
    <s v="Mum-TCL115"/>
    <x v="113"/>
    <x v="2"/>
    <n v="45"/>
    <n v="45"/>
    <n v="61"/>
    <n v="11"/>
    <n v="52"/>
    <n v="214"/>
    <n v="500"/>
    <n v="0.42799999999999999"/>
    <n v="0.57200000000000006"/>
  </r>
  <r>
    <s v="Mum-TCL116"/>
    <x v="114"/>
    <x v="3"/>
    <n v="71"/>
    <n v="42"/>
    <n v="17"/>
    <n v="57"/>
    <n v="96"/>
    <n v="283"/>
    <n v="500"/>
    <n v="0.56599999999999995"/>
    <n v="0.43400000000000005"/>
  </r>
  <r>
    <s v="Mum-TCL117"/>
    <x v="115"/>
    <x v="4"/>
    <n v="26"/>
    <n v="65"/>
    <n v="17"/>
    <n v="28"/>
    <n v="30"/>
    <n v="166"/>
    <n v="500"/>
    <n v="0.33200000000000002"/>
    <n v="0.66799999999999993"/>
  </r>
  <r>
    <s v="Mum-TCL118"/>
    <x v="116"/>
    <x v="5"/>
    <n v="26"/>
    <n v="61"/>
    <n v="89"/>
    <n v="71"/>
    <n v="33"/>
    <n v="280"/>
    <n v="500"/>
    <n v="0.56000000000000005"/>
    <n v="0.43999999999999995"/>
  </r>
  <r>
    <s v="Mum-TCL119"/>
    <x v="117"/>
    <x v="6"/>
    <n v="93"/>
    <n v="11"/>
    <n v="93"/>
    <n v="31"/>
    <n v="30"/>
    <n v="258"/>
    <n v="500"/>
    <n v="0.51600000000000001"/>
    <n v="0.48399999999999999"/>
  </r>
  <r>
    <s v="Mum-TCL120"/>
    <x v="118"/>
    <x v="7"/>
    <n v="65"/>
    <n v="92"/>
    <n v="48"/>
    <n v="96"/>
    <n v="15"/>
    <n v="316"/>
    <n v="500"/>
    <n v="0.63200000000000001"/>
    <n v="0.36799999999999999"/>
  </r>
  <r>
    <s v="Mum-TCL121"/>
    <x v="119"/>
    <x v="0"/>
    <n v="91"/>
    <n v="38"/>
    <n v="33"/>
    <n v="55"/>
    <n v="83"/>
    <n v="300"/>
    <n v="500"/>
    <n v="0.6"/>
    <n v="0.4"/>
  </r>
  <r>
    <s v="Mum-TCL122"/>
    <x v="120"/>
    <x v="1"/>
    <n v="20"/>
    <n v="94"/>
    <n v="45"/>
    <n v="70"/>
    <n v="98"/>
    <n v="327"/>
    <n v="500"/>
    <n v="0.65400000000000003"/>
    <n v="0.34599999999999997"/>
  </r>
  <r>
    <s v="Mum-TCL123"/>
    <x v="121"/>
    <x v="2"/>
    <n v="25"/>
    <n v="83"/>
    <n v="26"/>
    <n v="68"/>
    <n v="22"/>
    <n v="224"/>
    <n v="500"/>
    <n v="0.44800000000000001"/>
    <n v="0.55200000000000005"/>
  </r>
  <r>
    <s v="Mum-TCL124"/>
    <x v="122"/>
    <x v="3"/>
    <n v="26"/>
    <n v="16"/>
    <n v="61"/>
    <n v="92"/>
    <n v="50"/>
    <n v="245"/>
    <n v="500"/>
    <n v="0.49"/>
    <n v="0.51"/>
  </r>
  <r>
    <s v="Mum-TCL125"/>
    <x v="123"/>
    <x v="4"/>
    <n v="31"/>
    <n v="55"/>
    <n v="75"/>
    <n v="66"/>
    <n v="75"/>
    <n v="302"/>
    <n v="500"/>
    <n v="0.60399999999999998"/>
    <n v="0.39600000000000002"/>
  </r>
  <r>
    <s v="Mum-TCL126"/>
    <x v="124"/>
    <x v="5"/>
    <n v="41"/>
    <n v="66"/>
    <n v="48"/>
    <n v="70"/>
    <n v="48"/>
    <n v="273"/>
    <n v="500"/>
    <n v="0.54600000000000004"/>
    <n v="0.45399999999999996"/>
  </r>
  <r>
    <s v="Mum-TCL127"/>
    <x v="125"/>
    <x v="6"/>
    <n v="60"/>
    <n v="92"/>
    <n v="32"/>
    <n v="60"/>
    <n v="78"/>
    <n v="322"/>
    <n v="500"/>
    <n v="0.64400000000000002"/>
    <n v="0.35599999999999998"/>
  </r>
  <r>
    <s v="Mum-TCL128"/>
    <x v="126"/>
    <x v="7"/>
    <n v="42"/>
    <n v="24"/>
    <n v="19"/>
    <n v="82"/>
    <n v="16"/>
    <n v="183"/>
    <n v="500"/>
    <n v="0.36599999999999999"/>
    <n v="0.63400000000000001"/>
  </r>
  <r>
    <s v="Mum-TCL129"/>
    <x v="127"/>
    <x v="0"/>
    <n v="26"/>
    <n v="85"/>
    <n v="75"/>
    <n v="83"/>
    <n v="37"/>
    <n v="306"/>
    <n v="500"/>
    <n v="0.61199999999999999"/>
    <n v="0.38800000000000001"/>
  </r>
  <r>
    <s v="Mum-TCL130"/>
    <x v="128"/>
    <x v="1"/>
    <n v="81"/>
    <n v="68"/>
    <n v="74"/>
    <n v="72"/>
    <n v="12"/>
    <n v="307"/>
    <n v="500"/>
    <n v="0.61399999999999999"/>
    <n v="0.38600000000000001"/>
  </r>
  <r>
    <s v="Mum-TCL131"/>
    <x v="129"/>
    <x v="2"/>
    <n v="90"/>
    <n v="79"/>
    <n v="99"/>
    <n v="60"/>
    <n v="27"/>
    <n v="355"/>
    <n v="500"/>
    <n v="0.71"/>
    <n v="0.29000000000000004"/>
  </r>
  <r>
    <s v="Mum-TCL132"/>
    <x v="130"/>
    <x v="3"/>
    <n v="71"/>
    <n v="21"/>
    <n v="70"/>
    <n v="53"/>
    <n v="49"/>
    <n v="264"/>
    <n v="500"/>
    <n v="0.52800000000000002"/>
    <n v="0.47199999999999998"/>
  </r>
  <r>
    <s v="Mum-TCL133"/>
    <x v="131"/>
    <x v="4"/>
    <n v="86"/>
    <n v="60"/>
    <n v="59"/>
    <n v="51"/>
    <n v="90"/>
    <n v="346"/>
    <n v="500"/>
    <n v="0.69199999999999995"/>
    <n v="0.30800000000000005"/>
  </r>
  <r>
    <s v="Mum-TCL134"/>
    <x v="132"/>
    <x v="5"/>
    <n v="68"/>
    <n v="61"/>
    <n v="12"/>
    <n v="41"/>
    <n v="35"/>
    <n v="217"/>
    <n v="500"/>
    <n v="0.434"/>
    <n v="0.56600000000000006"/>
  </r>
  <r>
    <s v="Mum-TCL135"/>
    <x v="133"/>
    <x v="6"/>
    <n v="65"/>
    <n v="34"/>
    <n v="15"/>
    <n v="86"/>
    <n v="71"/>
    <n v="271"/>
    <n v="500"/>
    <n v="0.54200000000000004"/>
    <n v="0.45799999999999996"/>
  </r>
  <r>
    <s v="Mum-TCL137"/>
    <x v="134"/>
    <x v="0"/>
    <n v="73"/>
    <n v="67"/>
    <n v="49"/>
    <n v="56"/>
    <n v="43"/>
    <n v="288"/>
    <n v="500"/>
    <n v="0.57599999999999996"/>
    <n v="0.42400000000000004"/>
  </r>
  <r>
    <s v="Mum-TCL138"/>
    <x v="135"/>
    <x v="1"/>
    <n v="72"/>
    <n v="49"/>
    <n v="93"/>
    <n v="95"/>
    <n v="73"/>
    <n v="382"/>
    <n v="500"/>
    <n v="0.76400000000000001"/>
    <n v="0.23599999999999999"/>
  </r>
  <r>
    <s v="Mum-TCL139"/>
    <x v="136"/>
    <x v="2"/>
    <n v="85"/>
    <n v="43"/>
    <n v="74"/>
    <n v="26"/>
    <n v="88"/>
    <n v="316"/>
    <n v="500"/>
    <n v="0.63200000000000001"/>
    <n v="0.36799999999999999"/>
  </r>
  <r>
    <s v="Mum-TCL140"/>
    <x v="137"/>
    <x v="3"/>
    <n v="77"/>
    <n v="81"/>
    <n v="10"/>
    <n v="65"/>
    <n v="83"/>
    <n v="316"/>
    <n v="500"/>
    <n v="0.63200000000000001"/>
    <n v="0.36799999999999999"/>
  </r>
  <r>
    <s v="Mum-TCL141"/>
    <x v="138"/>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8A7336C-5FF0-403B-BF84-761314A9C97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Name">
  <location ref="H6:I12" firstHeaderRow="1" firstDataRow="1" firstDataCol="1"/>
  <pivotFields count="12">
    <pivotField showAll="0"/>
    <pivotField axis="axisRow" showAll="0" measureFilter="1">
      <items count="142">
        <item x="138"/>
        <item x="137"/>
        <item x="136"/>
        <item x="135"/>
        <item x="134"/>
        <item m="1" x="140"/>
        <item x="133"/>
        <item x="132"/>
        <item x="131"/>
        <item x="130"/>
        <item x="129"/>
        <item x="128"/>
        <item x="127"/>
        <item x="4"/>
        <item x="126"/>
        <item x="2"/>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m="1" x="139"/>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sortType="ascending">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x v="132"/>
    </i>
  </rowItems>
  <colItems count="1">
    <i/>
  </colItems>
  <dataFields count="1">
    <dataField name="Target_Hit%" fld="10" baseField="1" baseItem="3" numFmtId="10"/>
  </dataFields>
  <formats count="28">
    <format dxfId="27">
      <pivotArea type="all" dataOnly="0" outline="0" fieldPosition="0"/>
    </format>
    <format dxfId="26">
      <pivotArea outline="0" collapsedLevelsAreSubtotals="1" fieldPosition="0"/>
    </format>
    <format dxfId="25">
      <pivotArea field="2" type="button" dataOnly="0" labelOnly="1" outline="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field="2" type="button" dataOnly="0" labelOnly="1" outline="0"/>
    </format>
    <format dxfId="20">
      <pivotArea dataOnly="0" labelOnly="1" outline="0" axis="axisValues" fieldPosition="0"/>
    </format>
    <format dxfId="19">
      <pivotArea field="2" type="button" dataOnly="0" labelOnly="1" outline="0"/>
    </format>
    <format dxfId="18">
      <pivotArea dataOnly="0" labelOnly="1" outline="0" axis="axisValues" fieldPosition="0"/>
    </format>
    <format dxfId="17">
      <pivotArea field="2" type="button" dataOnly="0" labelOnly="1" outline="0"/>
    </format>
    <format dxfId="16">
      <pivotArea dataOnly="0" labelOnly="1" outline="0" axis="axisValues" fieldPosition="0"/>
    </format>
    <format dxfId="15">
      <pivotArea field="2" type="button" dataOnly="0" labelOnly="1" outline="0"/>
    </format>
    <format dxfId="14">
      <pivotArea outline="0" collapsedLevelsAreSubtotals="1" fieldPosition="0"/>
    </format>
    <format dxfId="13">
      <pivotArea field="2" type="button" dataOnly="0" labelOnly="1" outline="0"/>
    </format>
    <format dxfId="12">
      <pivotArea dataOnly="0" labelOnly="1" outline="0" axis="axisValues" fieldPosition="0"/>
    </format>
    <format dxfId="11">
      <pivotArea outline="0" collapsedLevelsAreSubtotals="1" fieldPosition="0"/>
    </format>
    <format dxfId="10">
      <pivotArea dataOnly="0" labelOnly="1" fieldPosition="0">
        <references count="1">
          <reference field="1" count="6">
            <x v="3"/>
            <x v="15"/>
            <x v="31"/>
            <x v="59"/>
            <x v="79"/>
            <x v="132"/>
          </reference>
        </references>
      </pivotArea>
    </format>
    <format dxfId="9">
      <pivotArea field="1" type="button" dataOnly="0" labelOnly="1" outline="0" axis="axisRow" fieldPosition="0"/>
    </format>
    <format dxfId="8">
      <pivotArea field="1" type="button" dataOnly="0" labelOnly="1" outline="0" axis="axisRow" fieldPosition="0"/>
    </format>
    <format dxfId="7">
      <pivotArea field="1" type="button" dataOnly="0" labelOnly="1" outline="0" axis="axisRow" fieldPosition="0"/>
    </format>
    <format dxfId="6">
      <pivotArea field="1" type="button" dataOnly="0" labelOnly="1" outline="0" axis="axisRow" fieldPosition="0"/>
    </format>
    <format dxfId="5">
      <pivotArea field="1" type="button" dataOnly="0" labelOnly="1" outline="0" axis="axisRow" fieldPosition="0"/>
    </format>
    <format dxfId="4">
      <pivotArea dataOnly="0" labelOnly="1" fieldPosition="0">
        <references count="1">
          <reference field="1" count="6">
            <x v="3"/>
            <x v="15"/>
            <x v="31"/>
            <x v="59"/>
            <x v="79"/>
            <x v="132"/>
          </reference>
        </references>
      </pivotArea>
    </format>
    <format dxfId="3">
      <pivotArea outline="0" collapsedLevelsAreSubtotals="1" fieldPosition="0"/>
    </format>
    <format dxfId="2">
      <pivotArea dataOnly="0" labelOnly="1" fieldPosition="0">
        <references count="1">
          <reference field="1" count="0"/>
        </references>
      </pivotArea>
    </format>
    <format dxfId="1">
      <pivotArea outline="0" collapsedLevelsAreSubtotals="1" fieldPosition="0"/>
    </format>
    <format dxfId="0">
      <pivotArea dataOnly="0" labelOnly="1" fieldPosition="0">
        <references count="1">
          <reference field="1"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C46C81-0BC2-424D-8305-2E9229E80EF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Name">
  <location ref="E6:F12" firstHeaderRow="1" firstDataRow="1" firstDataCol="1"/>
  <pivotFields count="12">
    <pivotField showAll="0"/>
    <pivotField axis="axisRow" showAll="0" measureFilter="1" sortType="descending">
      <items count="142">
        <item x="138"/>
        <item x="137"/>
        <item x="136"/>
        <item x="135"/>
        <item x="134"/>
        <item m="1" x="140"/>
        <item x="133"/>
        <item x="132"/>
        <item x="131"/>
        <item x="130"/>
        <item x="129"/>
        <item x="128"/>
        <item x="127"/>
        <item x="4"/>
        <item x="126"/>
        <item x="2"/>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m="1" x="139"/>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13"/>
    </i>
    <i>
      <x v="74"/>
    </i>
    <i>
      <x v="77"/>
    </i>
    <i>
      <x v="26"/>
    </i>
    <i>
      <x v="72"/>
    </i>
    <i>
      <x v="70"/>
    </i>
  </rowItems>
  <colItems count="1">
    <i/>
  </colItems>
  <dataFields count="1">
    <dataField name="Total_Sales" fld="8" baseField="1" baseItem="113"/>
  </dataFields>
  <formats count="28">
    <format dxfId="55">
      <pivotArea type="all" dataOnly="0" outline="0" fieldPosition="0"/>
    </format>
    <format dxfId="54">
      <pivotArea outline="0" collapsedLevelsAreSubtotals="1" fieldPosition="0"/>
    </format>
    <format dxfId="53">
      <pivotArea field="1" type="button" dataOnly="0" labelOnly="1" outline="0" axis="axisRow" fieldPosition="0"/>
    </format>
    <format dxfId="52">
      <pivotArea dataOnly="0" labelOnly="1" fieldPosition="0">
        <references count="1">
          <reference field="1" count="6">
            <x v="26"/>
            <x v="70"/>
            <x v="72"/>
            <x v="74"/>
            <x v="77"/>
            <x v="113"/>
          </reference>
        </references>
      </pivotArea>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fieldPosition="0">
        <references count="1">
          <reference field="1" count="6">
            <x v="26"/>
            <x v="70"/>
            <x v="72"/>
            <x v="74"/>
            <x v="77"/>
            <x v="113"/>
          </reference>
        </references>
      </pivotArea>
    </format>
    <format dxfId="46">
      <pivotArea dataOnly="0" labelOnly="1" outline="0" axis="axisValues" fieldPosition="0"/>
    </format>
    <format dxfId="45">
      <pivotArea field="1" type="button" dataOnly="0" labelOnly="1" outline="0" axis="axisRow" fieldPosition="0"/>
    </format>
    <format dxfId="44">
      <pivotArea dataOnly="0" labelOnly="1" outline="0" axis="axisValues" fieldPosition="0"/>
    </format>
    <format dxfId="43">
      <pivotArea field="1" type="button" dataOnly="0" labelOnly="1" outline="0" axis="axisRow" fieldPosition="0"/>
    </format>
    <format dxfId="42">
      <pivotArea dataOnly="0" labelOnly="1" outline="0" axis="axisValues" fieldPosition="0"/>
    </format>
    <format dxfId="41">
      <pivotArea field="1" type="button" dataOnly="0" labelOnly="1" outline="0" axis="axisRow" fieldPosition="0"/>
    </format>
    <format dxfId="40">
      <pivotArea dataOnly="0" labelOnly="1" fieldPosition="0">
        <references count="1">
          <reference field="1" count="6">
            <x v="26"/>
            <x v="70"/>
            <x v="72"/>
            <x v="74"/>
            <x v="77"/>
            <x v="113"/>
          </reference>
        </references>
      </pivotArea>
    </format>
    <format dxfId="39">
      <pivotArea outline="0" collapsedLevelsAreSubtotals="1" fieldPosition="0"/>
    </format>
    <format dxfId="38">
      <pivotArea dataOnly="0" labelOnly="1" fieldPosition="0">
        <references count="1">
          <reference field="1" count="6">
            <x v="26"/>
            <x v="70"/>
            <x v="72"/>
            <x v="74"/>
            <x v="77"/>
            <x v="113"/>
          </reference>
        </references>
      </pivotArea>
    </format>
    <format dxfId="37">
      <pivotArea dataOnly="0" labelOnly="1" fieldPosition="0">
        <references count="1">
          <reference field="1" count="0"/>
        </references>
      </pivotArea>
    </format>
    <format dxfId="36">
      <pivotArea dataOnly="0" labelOnly="1" fieldPosition="0">
        <references count="1">
          <reference field="1" count="0"/>
        </references>
      </pivotArea>
    </format>
    <format dxfId="35">
      <pivotArea dataOnly="0" labelOnly="1" fieldPosition="0">
        <references count="1">
          <reference field="1" count="0"/>
        </references>
      </pivotArea>
    </format>
    <format dxfId="34">
      <pivotArea field="1" type="button" dataOnly="0" labelOnly="1" outline="0" axis="axisRow" fieldPosition="0"/>
    </format>
    <format dxfId="33">
      <pivotArea dataOnly="0" labelOnly="1" outline="0" axis="axisValues" fieldPosition="0"/>
    </format>
    <format dxfId="32">
      <pivotArea outline="0" collapsedLevelsAreSubtotals="1" fieldPosition="0"/>
    </format>
    <format dxfId="31">
      <pivotArea outline="0" collapsedLevelsAreSubtotals="1" fieldPosition="0"/>
    </format>
    <format dxfId="30">
      <pivotArea dataOnly="0" labelOnly="1" fieldPosition="0">
        <references count="1">
          <reference field="1" count="0"/>
        </references>
      </pivotArea>
    </format>
    <format dxfId="29">
      <pivotArea outline="0" collapsedLevelsAreSubtotals="1" fieldPosition="0"/>
    </format>
    <format dxfId="28">
      <pivotArea dataOnly="0" labelOnly="1" fieldPosition="0">
        <references count="1">
          <reference field="1"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top="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8F5524E-2378-48F6-ABBA-602DC2EF6CCE}"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4" rowHeaderCaption="Name">
  <location ref="B6:C12" firstHeaderRow="1" firstDataRow="1" firstDataCol="1"/>
  <pivotFields count="12">
    <pivotField showAll="0"/>
    <pivotField axis="axisRow" showAll="0" measureFilter="1" sortType="ascending">
      <items count="142">
        <item x="138"/>
        <item x="137"/>
        <item x="136"/>
        <item x="135"/>
        <item x="134"/>
        <item m="1" x="140"/>
        <item x="133"/>
        <item x="132"/>
        <item x="131"/>
        <item x="130"/>
        <item x="129"/>
        <item x="128"/>
        <item x="127"/>
        <item x="4"/>
        <item x="126"/>
        <item x="2"/>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m="1" x="139"/>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x v="132"/>
    </i>
  </rowItems>
  <colItems count="1">
    <i/>
  </colItems>
  <dataFields count="1">
    <dataField name="Total_Sales" fld="8" baseField="1" baseItem="31"/>
  </dataFields>
  <formats count="39">
    <format dxfId="94">
      <pivotArea type="all" dataOnly="0" outline="0" fieldPosition="0"/>
    </format>
    <format dxfId="93">
      <pivotArea outline="0" collapsedLevelsAreSubtotals="1" fieldPosition="0"/>
    </format>
    <format dxfId="92">
      <pivotArea field="1" type="button" dataOnly="0" labelOnly="1" outline="0" axis="axisRow" fieldPosition="0"/>
    </format>
    <format dxfId="91">
      <pivotArea dataOnly="0" labelOnly="1" fieldPosition="0">
        <references count="1">
          <reference field="1" count="6">
            <x v="3"/>
            <x v="15"/>
            <x v="31"/>
            <x v="59"/>
            <x v="79"/>
            <x v="132"/>
          </reference>
        </references>
      </pivotArea>
    </format>
    <format dxfId="90">
      <pivotArea dataOnly="0" labelOnly="1" outline="0" axis="axisValues" fieldPosition="0"/>
    </format>
    <format dxfId="89">
      <pivotArea field="1" type="button" dataOnly="0" labelOnly="1" outline="0" axis="axisRow" fieldPosition="0"/>
    </format>
    <format dxfId="88">
      <pivotArea dataOnly="0" labelOnly="1" outline="0" axis="axisValues" fieldPosition="0"/>
    </format>
    <format dxfId="87">
      <pivotArea field="1" type="button" dataOnly="0" labelOnly="1" outline="0" axis="axisRow" fieldPosition="0"/>
    </format>
    <format dxfId="86">
      <pivotArea dataOnly="0" labelOnly="1" outline="0" axis="axisValues" fieldPosition="0"/>
    </format>
    <format dxfId="85">
      <pivotArea field="1" type="button" dataOnly="0" labelOnly="1" outline="0" axis="axisRow" fieldPosition="0"/>
    </format>
    <format dxfId="84">
      <pivotArea dataOnly="0" labelOnly="1" outline="0" axis="axisValues" fieldPosition="0"/>
    </format>
    <format dxfId="83">
      <pivotArea type="all" dataOnly="0" outline="0" fieldPosition="0"/>
    </format>
    <format dxfId="82">
      <pivotArea outline="0" collapsedLevelsAreSubtotals="1" fieldPosition="0"/>
    </format>
    <format dxfId="81">
      <pivotArea field="1" type="button" dataOnly="0" labelOnly="1" outline="0" axis="axisRow" fieldPosition="0"/>
    </format>
    <format dxfId="80">
      <pivotArea dataOnly="0" labelOnly="1" fieldPosition="0">
        <references count="1">
          <reference field="1" count="6">
            <x v="3"/>
            <x v="15"/>
            <x v="31"/>
            <x v="59"/>
            <x v="79"/>
            <x v="132"/>
          </reference>
        </references>
      </pivotArea>
    </format>
    <format dxfId="79">
      <pivotArea dataOnly="0" labelOnly="1" outline="0" axis="axisValues" fieldPosition="0"/>
    </format>
    <format dxfId="78">
      <pivotArea dataOnly="0" labelOnly="1" fieldPosition="0">
        <references count="1">
          <reference field="1" count="6">
            <x v="3"/>
            <x v="15"/>
            <x v="31"/>
            <x v="59"/>
            <x v="79"/>
            <x v="132"/>
          </reference>
        </references>
      </pivotArea>
    </format>
    <format dxfId="77">
      <pivotArea outline="0" collapsedLevelsAreSubtotals="1" fieldPosition="0"/>
    </format>
    <format dxfId="76">
      <pivotArea field="1" type="button" dataOnly="0" labelOnly="1" outline="0" axis="axisRow" fieldPosition="0"/>
    </format>
    <format dxfId="75">
      <pivotArea dataOnly="0" labelOnly="1" outline="0" axis="axisValues" fieldPosition="0"/>
    </format>
    <format dxfId="74">
      <pivotArea field="1" type="button" dataOnly="0" labelOnly="1" outline="0" axis="axisRow" fieldPosition="0"/>
    </format>
    <format dxfId="73">
      <pivotArea dataOnly="0" labelOnly="1" outline="0" axis="axisValues" fieldPosition="0"/>
    </format>
    <format dxfId="72">
      <pivotArea type="all" dataOnly="0" outline="0" fieldPosition="0"/>
    </format>
    <format dxfId="71">
      <pivotArea outline="0" collapsedLevelsAreSubtotals="1" fieldPosition="0"/>
    </format>
    <format dxfId="70">
      <pivotArea field="1" type="button" dataOnly="0" labelOnly="1" outline="0" axis="axisRow" fieldPosition="0"/>
    </format>
    <format dxfId="69">
      <pivotArea dataOnly="0" labelOnly="1" fieldPosition="0">
        <references count="1">
          <reference field="1" count="6">
            <x v="3"/>
            <x v="15"/>
            <x v="31"/>
            <x v="59"/>
            <x v="79"/>
            <x v="132"/>
          </reference>
        </references>
      </pivotArea>
    </format>
    <format dxfId="68">
      <pivotArea dataOnly="0" labelOnly="1" outline="0" axis="axisValues" fieldPosition="0"/>
    </format>
    <format dxfId="67">
      <pivotArea collapsedLevelsAreSubtotals="1" fieldPosition="0">
        <references count="1">
          <reference field="1" count="1">
            <x v="31"/>
          </reference>
        </references>
      </pivotArea>
    </format>
    <format dxfId="66">
      <pivotArea field="1" type="button" dataOnly="0" labelOnly="1" outline="0" axis="axisRow" fieldPosition="0"/>
    </format>
    <format dxfId="65">
      <pivotArea dataOnly="0" labelOnly="1" outline="0" axis="axisValues" fieldPosition="0"/>
    </format>
    <format dxfId="64">
      <pivotArea dataOnly="0" labelOnly="1" fieldPosition="0">
        <references count="1">
          <reference field="1" count="0"/>
        </references>
      </pivotArea>
    </format>
    <format dxfId="63">
      <pivotArea outline="0" collapsedLevelsAreSubtotals="1" fieldPosition="0"/>
    </format>
    <format dxfId="62">
      <pivotArea outline="0" collapsedLevelsAreSubtotals="1" fieldPosition="0"/>
    </format>
    <format dxfId="61">
      <pivotArea dataOnly="0" labelOnly="1" fieldPosition="0">
        <references count="1">
          <reference field="1" count="0"/>
        </references>
      </pivotArea>
    </format>
    <format dxfId="60">
      <pivotArea outline="0" collapsedLevelsAreSubtotals="1" fieldPosition="0"/>
    </format>
    <format dxfId="59">
      <pivotArea dataOnly="0" labelOnly="1" fieldPosition="0">
        <references count="1">
          <reference field="1" count="6">
            <x v="1"/>
            <x v="43"/>
            <x v="59"/>
            <x v="75"/>
            <x v="116"/>
            <x v="132"/>
          </reference>
        </references>
      </pivotArea>
    </format>
    <format dxfId="58">
      <pivotArea field="1" type="button" dataOnly="0" labelOnly="1" outline="0" axis="axisRow" fieldPosition="0"/>
    </format>
    <format dxfId="57">
      <pivotArea dataOnly="0" labelOnly="1" fieldPosition="0">
        <references count="1">
          <reference field="1" count="2">
            <x v="31"/>
            <x v="79"/>
          </reference>
        </references>
      </pivotArea>
    </format>
    <format dxfId="56">
      <pivotArea dataOnly="0" labelOnly="1" fieldPosition="0">
        <references count="1">
          <reference field="1" count="2">
            <x v="3"/>
            <x v="15"/>
          </reference>
        </references>
      </pivotArea>
    </format>
  </formats>
  <chartFormats count="6">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857E065-9C3A-466B-866B-02D3D3A62E44}"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Name">
  <location ref="K6:L12" firstHeaderRow="1" firstDataRow="1" firstDataCol="1"/>
  <pivotFields count="12">
    <pivotField showAll="0"/>
    <pivotField axis="axisRow" showAll="0" measureFilter="1">
      <items count="142">
        <item x="138"/>
        <item x="137"/>
        <item x="136"/>
        <item x="135"/>
        <item x="134"/>
        <item m="1" x="140"/>
        <item x="133"/>
        <item x="132"/>
        <item x="131"/>
        <item x="130"/>
        <item x="129"/>
        <item x="128"/>
        <item x="127"/>
        <item x="4"/>
        <item x="126"/>
        <item x="2"/>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m="1" x="139"/>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sortType="ascending">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x v="113"/>
    </i>
  </rowItems>
  <colItems count="1">
    <i/>
  </colItems>
  <dataFields count="1">
    <dataField name="Far_From_Target%" fld="11" baseField="1" baseItem="26" numFmtId="10"/>
  </dataFields>
  <formats count="30">
    <format dxfId="124">
      <pivotArea type="all" dataOnly="0" outline="0" fieldPosition="0"/>
    </format>
    <format dxfId="123">
      <pivotArea outline="0" collapsedLevelsAreSubtotals="1" fieldPosition="0"/>
    </format>
    <format dxfId="122">
      <pivotArea field="2" type="button" dataOnly="0" labelOnly="1" outline="0"/>
    </format>
    <format dxfId="121">
      <pivotArea dataOnly="0" labelOnly="1" outline="0" axis="axisValues" fieldPosition="0"/>
    </format>
    <format dxfId="120">
      <pivotArea type="all" dataOnly="0" outline="0" fieldPosition="0"/>
    </format>
    <format dxfId="119">
      <pivotArea outline="0" collapsedLevelsAreSubtotals="1" fieldPosition="0"/>
    </format>
    <format dxfId="118">
      <pivotArea field="2" type="button" dataOnly="0" labelOnly="1" outline="0"/>
    </format>
    <format dxfId="117">
      <pivotArea dataOnly="0" labelOnly="1" outline="0" axis="axisValues" fieldPosition="0"/>
    </format>
    <format dxfId="116">
      <pivotArea field="2" type="button" dataOnly="0" labelOnly="1" outline="0"/>
    </format>
    <format dxfId="115">
      <pivotArea dataOnly="0" labelOnly="1" outline="0" axis="axisValues" fieldPosition="0"/>
    </format>
    <format dxfId="114">
      <pivotArea field="2" type="button" dataOnly="0" labelOnly="1" outline="0"/>
    </format>
    <format dxfId="113">
      <pivotArea dataOnly="0" labelOnly="1" outline="0" axis="axisValues" fieldPosition="0"/>
    </format>
    <format dxfId="112">
      <pivotArea field="2" type="button" dataOnly="0" labelOnly="1" outline="0"/>
    </format>
    <format dxfId="111">
      <pivotArea outline="0" collapsedLevelsAreSubtotals="1" fieldPosition="0"/>
    </format>
    <format dxfId="110">
      <pivotArea field="2" type="button" dataOnly="0" labelOnly="1" outline="0"/>
    </format>
    <format dxfId="109">
      <pivotArea dataOnly="0" labelOnly="1" outline="0" axis="axisValues" fieldPosition="0"/>
    </format>
    <format dxfId="108">
      <pivotArea outline="0" collapsedLevelsAreSubtotals="1" fieldPosition="0"/>
    </format>
    <format dxfId="107">
      <pivotArea dataOnly="0" labelOnly="1" fieldPosition="0">
        <references count="1">
          <reference field="1" count="6">
            <x v="3"/>
            <x v="15"/>
            <x v="31"/>
            <x v="59"/>
            <x v="79"/>
            <x v="132"/>
          </reference>
        </references>
      </pivotArea>
    </format>
    <format dxfId="106">
      <pivotArea field="1" type="button" dataOnly="0" labelOnly="1" outline="0" axis="axisRow" fieldPosition="0"/>
    </format>
    <format dxfId="105">
      <pivotArea field="1" type="button" dataOnly="0" labelOnly="1" outline="0" axis="axisRow" fieldPosition="0"/>
    </format>
    <format dxfId="104">
      <pivotArea field="1" type="button" dataOnly="0" labelOnly="1" outline="0" axis="axisRow" fieldPosition="0"/>
    </format>
    <format dxfId="103">
      <pivotArea field="1" type="button" dataOnly="0" labelOnly="1" outline="0" axis="axisRow" fieldPosition="0"/>
    </format>
    <format dxfId="102">
      <pivotArea field="1" type="button" dataOnly="0" labelOnly="1" outline="0" axis="axisRow" fieldPosition="0"/>
    </format>
    <format dxfId="101">
      <pivotArea dataOnly="0" labelOnly="1" fieldPosition="0">
        <references count="1">
          <reference field="1" count="6">
            <x v="26"/>
            <x v="70"/>
            <x v="72"/>
            <x v="74"/>
            <x v="77"/>
            <x v="113"/>
          </reference>
        </references>
      </pivotArea>
    </format>
    <format dxfId="100">
      <pivotArea dataOnly="0" labelOnly="1" fieldPosition="0">
        <references count="1">
          <reference field="1" count="6">
            <x v="26"/>
            <x v="70"/>
            <x v="72"/>
            <x v="74"/>
            <x v="77"/>
            <x v="113"/>
          </reference>
        </references>
      </pivotArea>
    </format>
    <format dxfId="99">
      <pivotArea dataOnly="0" fieldPosition="0">
        <references count="1">
          <reference field="1" count="6">
            <x v="37"/>
            <x v="61"/>
            <x v="77"/>
            <x v="110"/>
            <x v="134"/>
            <x v="140"/>
          </reference>
        </references>
      </pivotArea>
    </format>
    <format dxfId="98">
      <pivotArea outline="0" collapsedLevelsAreSubtotals="1" fieldPosition="0"/>
    </format>
    <format dxfId="97">
      <pivotArea dataOnly="0" labelOnly="1" fieldPosition="0">
        <references count="1">
          <reference field="1" count="0"/>
        </references>
      </pivotArea>
    </format>
    <format dxfId="96">
      <pivotArea outline="0" collapsedLevelsAreSubtotals="1" fieldPosition="0"/>
    </format>
    <format dxfId="95">
      <pivotArea dataOnly="0" labelOnly="1" fieldPosition="0">
        <references count="1">
          <reference field="1"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13A128D-01D7-4097-9FEB-FD40F7525EFB}" sourceName="Region">
  <pivotTables>
    <pivotTable tabId="3" name="PivotTable1"/>
    <pivotTable tabId="3" name="PivotTable3"/>
    <pivotTable tabId="3" name="PivotTable5"/>
    <pivotTable tabId="3" name="PivotTable2"/>
  </pivotTables>
  <data>
    <tabular pivotCacheId="480291380">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6ABC439-4B8D-4B62-9CBA-24724706DEB8}" cache="Slicer_Region" caption="Region" columnCount="8" style="Slicer Style 2" rowHeight="2417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8DCB0-1C58-4CF0-AB9F-6E844BEE272A}">
  <sheetPr codeName="Sheet1"/>
  <dimension ref="A1:S147"/>
  <sheetViews>
    <sheetView tabSelected="1" zoomScale="73" workbookViewId="0">
      <selection activeCell="Q4" sqref="Q4"/>
    </sheetView>
  </sheetViews>
  <sheetFormatPr defaultRowHeight="14.4" x14ac:dyDescent="0.3"/>
  <cols>
    <col min="1" max="1" width="4.69921875" customWidth="1"/>
    <col min="2" max="2" width="18.3984375" customWidth="1"/>
    <col min="3" max="3" width="22.296875" customWidth="1"/>
    <col min="4" max="4" width="3.69921875" customWidth="1"/>
    <col min="5" max="5" width="18.296875" customWidth="1"/>
    <col min="6" max="6" width="22.296875" customWidth="1"/>
    <col min="7" max="7" width="3.69921875" customWidth="1"/>
    <col min="8" max="8" width="18.296875" customWidth="1"/>
    <col min="9" max="9" width="22.296875" customWidth="1"/>
    <col min="10" max="10" width="3.69921875" customWidth="1"/>
    <col min="11" max="11" width="18.296875" customWidth="1"/>
    <col min="12" max="12" width="22.296875" customWidth="1"/>
    <col min="13" max="13" width="3.69921875" customWidth="1"/>
    <col min="14" max="14" width="14.3984375" customWidth="1"/>
    <col min="15" max="15" width="14.59765625" bestFit="1" customWidth="1"/>
    <col min="16" max="16" width="11.59765625" bestFit="1" customWidth="1"/>
    <col min="17" max="17" width="11" bestFit="1" customWidth="1"/>
    <col min="18" max="18" width="13.296875" bestFit="1" customWidth="1"/>
    <col min="19" max="19" width="12.3984375" bestFit="1" customWidth="1"/>
    <col min="20" max="20" width="12.09765625" bestFit="1" customWidth="1"/>
    <col min="21" max="21" width="12.19921875" bestFit="1" customWidth="1"/>
    <col min="22" max="22" width="10.3984375" bestFit="1" customWidth="1"/>
    <col min="23" max="23" width="5.5" bestFit="1" customWidth="1"/>
    <col min="24" max="24" width="13.296875" bestFit="1" customWidth="1"/>
    <col min="25" max="25" width="9.796875" bestFit="1" customWidth="1"/>
    <col min="26" max="26" width="11.796875" bestFit="1" customWidth="1"/>
    <col min="27" max="27" width="13.3984375" bestFit="1" customWidth="1"/>
    <col min="28" max="28" width="13.69921875" bestFit="1" customWidth="1"/>
    <col min="29" max="29" width="12.69921875" bestFit="1" customWidth="1"/>
    <col min="30" max="30" width="10.3984375" bestFit="1" customWidth="1"/>
    <col min="31" max="31" width="20" bestFit="1" customWidth="1"/>
    <col min="32" max="32" width="8.3984375" bestFit="1" customWidth="1"/>
    <col min="33" max="33" width="10.296875" bestFit="1" customWidth="1"/>
    <col min="34" max="34" width="14.69921875" bestFit="1" customWidth="1"/>
    <col min="35" max="35" width="12.3984375" bestFit="1" customWidth="1"/>
    <col min="36" max="36" width="15" bestFit="1" customWidth="1"/>
    <col min="37" max="37" width="13.796875" bestFit="1" customWidth="1"/>
    <col min="38" max="38" width="11.8984375" bestFit="1" customWidth="1"/>
    <col min="39" max="39" width="6.09765625" bestFit="1" customWidth="1"/>
    <col min="40" max="40" width="11.296875" bestFit="1" customWidth="1"/>
    <col min="41" max="41" width="16.3984375" bestFit="1" customWidth="1"/>
    <col min="42" max="42" width="11.5" bestFit="1" customWidth="1"/>
    <col min="43" max="43" width="15.09765625" bestFit="1" customWidth="1"/>
    <col min="44" max="44" width="12.69921875" bestFit="1" customWidth="1"/>
    <col min="45" max="45" width="12.3984375" bestFit="1" customWidth="1"/>
    <col min="46" max="46" width="13" bestFit="1" customWidth="1"/>
    <col min="47" max="47" width="18.09765625" bestFit="1" customWidth="1"/>
    <col min="48" max="48" width="9" bestFit="1" customWidth="1"/>
    <col min="49" max="49" width="14.296875" bestFit="1" customWidth="1"/>
    <col min="50" max="50" width="10.09765625" bestFit="1" customWidth="1"/>
    <col min="51" max="51" width="12.296875" bestFit="1" customWidth="1"/>
    <col min="52" max="52" width="8.19921875" bestFit="1" customWidth="1"/>
    <col min="53" max="53" width="12.09765625" bestFit="1" customWidth="1"/>
    <col min="54" max="54" width="18.296875" bestFit="1" customWidth="1"/>
    <col min="55" max="55" width="14.3984375" bestFit="1" customWidth="1"/>
    <col min="56" max="56" width="15" bestFit="1" customWidth="1"/>
    <col min="57" max="57" width="12.296875" bestFit="1" customWidth="1"/>
    <col min="58" max="58" width="11.796875" bestFit="1" customWidth="1"/>
    <col min="59" max="59" width="13.09765625" bestFit="1" customWidth="1"/>
    <col min="60" max="60" width="12.3984375" bestFit="1" customWidth="1"/>
    <col min="61" max="61" width="12.796875" bestFit="1" customWidth="1"/>
    <col min="62" max="62" width="9.8984375" bestFit="1" customWidth="1"/>
    <col min="63" max="63" width="9.59765625" bestFit="1" customWidth="1"/>
    <col min="64" max="64" width="12.69921875" bestFit="1" customWidth="1"/>
    <col min="65" max="65" width="13.09765625" bestFit="1" customWidth="1"/>
    <col min="66" max="66" width="12.5" bestFit="1" customWidth="1"/>
    <col min="67" max="67" width="13" bestFit="1" customWidth="1"/>
    <col min="68" max="68" width="12.796875" bestFit="1" customWidth="1"/>
    <col min="69" max="69" width="12" bestFit="1" customWidth="1"/>
    <col min="70" max="70" width="15.3984375" bestFit="1" customWidth="1"/>
    <col min="71" max="71" width="10.8984375" bestFit="1" customWidth="1"/>
    <col min="72" max="72" width="11.09765625" bestFit="1" customWidth="1"/>
    <col min="73" max="73" width="12.5" bestFit="1" customWidth="1"/>
    <col min="74" max="74" width="11.59765625" bestFit="1" customWidth="1"/>
    <col min="75" max="75" width="13.59765625" bestFit="1" customWidth="1"/>
    <col min="76" max="76" width="13" bestFit="1" customWidth="1"/>
    <col min="77" max="77" width="14.19921875" bestFit="1" customWidth="1"/>
    <col min="78" max="78" width="13.296875" bestFit="1" customWidth="1"/>
    <col min="79" max="79" width="16.09765625" bestFit="1" customWidth="1"/>
    <col min="80" max="80" width="13.796875" bestFit="1" customWidth="1"/>
    <col min="81" max="81" width="14" bestFit="1" customWidth="1"/>
    <col min="82" max="82" width="14.796875" bestFit="1" customWidth="1"/>
    <col min="83" max="83" width="15.09765625" bestFit="1" customWidth="1"/>
    <col min="84" max="85" width="9.5" bestFit="1" customWidth="1"/>
    <col min="86" max="86" width="10.796875" bestFit="1" customWidth="1"/>
    <col min="87" max="87" width="12.3984375" bestFit="1" customWidth="1"/>
    <col min="88" max="88" width="14.19921875" bestFit="1" customWidth="1"/>
    <col min="89" max="89" width="14.5" bestFit="1" customWidth="1"/>
    <col min="90" max="90" width="14.69921875" bestFit="1" customWidth="1"/>
    <col min="91" max="91" width="12.3984375" bestFit="1" customWidth="1"/>
    <col min="92" max="92" width="13.296875" bestFit="1" customWidth="1"/>
    <col min="93" max="93" width="12.19921875" bestFit="1" customWidth="1"/>
    <col min="94" max="94" width="16.8984375" bestFit="1" customWidth="1"/>
    <col min="95" max="95" width="12.69921875" bestFit="1" customWidth="1"/>
    <col min="96" max="96" width="11.796875" bestFit="1" customWidth="1"/>
    <col min="97" max="97" width="6.5" bestFit="1" customWidth="1"/>
    <col min="98" max="98" width="12.3984375" bestFit="1" customWidth="1"/>
    <col min="99" max="99" width="10.3984375" bestFit="1" customWidth="1"/>
    <col min="100" max="100" width="12.69921875" bestFit="1" customWidth="1"/>
    <col min="101" max="101" width="13.5" bestFit="1" customWidth="1"/>
    <col min="102" max="102" width="11.796875" bestFit="1" customWidth="1"/>
    <col min="103" max="103" width="10.3984375" bestFit="1" customWidth="1"/>
    <col min="104" max="104" width="11.296875" bestFit="1" customWidth="1"/>
    <col min="105" max="105" width="13.5" bestFit="1" customWidth="1"/>
    <col min="106" max="106" width="13.09765625" bestFit="1" customWidth="1"/>
    <col min="107" max="107" width="13.296875" bestFit="1" customWidth="1"/>
    <col min="108" max="108" width="12.296875" bestFit="1" customWidth="1"/>
    <col min="109" max="109" width="11.8984375" bestFit="1" customWidth="1"/>
    <col min="110" max="110" width="10.19921875" bestFit="1" customWidth="1"/>
    <col min="111" max="111" width="5.3984375" bestFit="1" customWidth="1"/>
    <col min="112" max="112" width="10.296875" bestFit="1" customWidth="1"/>
    <col min="113" max="113" width="15.296875" bestFit="1" customWidth="1"/>
    <col min="114" max="114" width="12.59765625" bestFit="1" customWidth="1"/>
    <col min="115" max="115" width="13.69921875" bestFit="1" customWidth="1"/>
    <col min="116" max="116" width="12.796875" bestFit="1" customWidth="1"/>
    <col min="117" max="117" width="10.59765625" bestFit="1" customWidth="1"/>
    <col min="118" max="118" width="13.19921875" bestFit="1" customWidth="1"/>
    <col min="119" max="119" width="15.09765625" bestFit="1" customWidth="1"/>
    <col min="120" max="120" width="16.8984375" bestFit="1" customWidth="1"/>
    <col min="121" max="121" width="15.8984375" bestFit="1" customWidth="1"/>
    <col min="122" max="123" width="13.3984375" bestFit="1" customWidth="1"/>
    <col min="124" max="124" width="11.8984375" bestFit="1" customWidth="1"/>
    <col min="125" max="125" width="11.5" bestFit="1" customWidth="1"/>
    <col min="126" max="126" width="15.59765625" bestFit="1" customWidth="1"/>
    <col min="127" max="127" width="15.3984375" bestFit="1" customWidth="1"/>
    <col min="128" max="128" width="9.796875" bestFit="1" customWidth="1"/>
    <col min="129" max="129" width="14.8984375" bestFit="1" customWidth="1"/>
    <col min="130" max="130" width="13.69921875" bestFit="1" customWidth="1"/>
    <col min="131" max="131" width="12.296875" bestFit="1" customWidth="1"/>
    <col min="132" max="132" width="11" bestFit="1" customWidth="1"/>
    <col min="133" max="133" width="13" bestFit="1" customWidth="1"/>
    <col min="134" max="134" width="14.296875" bestFit="1" customWidth="1"/>
    <col min="135" max="135" width="14.59765625" bestFit="1" customWidth="1"/>
    <col min="136" max="136" width="19" bestFit="1" customWidth="1"/>
    <col min="137" max="137" width="18" bestFit="1" customWidth="1"/>
    <col min="138" max="138" width="14.59765625" bestFit="1" customWidth="1"/>
    <col min="139" max="139" width="10.59765625" bestFit="1" customWidth="1"/>
    <col min="140" max="140" width="9.8984375" bestFit="1" customWidth="1"/>
    <col min="141" max="141" width="10.3984375" bestFit="1" customWidth="1"/>
    <col min="142" max="142" width="13.3984375" bestFit="1" customWidth="1"/>
    <col min="143" max="143" width="10.69921875" bestFit="1" customWidth="1"/>
    <col min="144" max="144" width="10.8984375" bestFit="1" customWidth="1"/>
  </cols>
  <sheetData>
    <row r="1" spans="1:19" ht="23.3" customHeight="1" x14ac:dyDescent="0.3">
      <c r="A1" s="9"/>
      <c r="B1" s="9"/>
      <c r="C1" s="9"/>
      <c r="D1" s="9"/>
      <c r="E1" s="9"/>
      <c r="F1" s="9"/>
      <c r="G1" s="9"/>
      <c r="H1" s="9"/>
      <c r="I1" s="9"/>
      <c r="J1" s="9"/>
      <c r="K1" s="9"/>
      <c r="L1" s="9"/>
      <c r="M1" s="9"/>
      <c r="N1" s="9"/>
      <c r="O1" s="9"/>
      <c r="P1" s="9"/>
      <c r="Q1" s="9"/>
      <c r="R1" s="9"/>
      <c r="S1" s="9"/>
    </row>
    <row r="2" spans="1:19" ht="55.95" customHeight="1" x14ac:dyDescent="0.3">
      <c r="A2" s="9"/>
      <c r="N2" s="9"/>
      <c r="O2" s="9"/>
      <c r="P2" s="9"/>
      <c r="Q2" s="9"/>
      <c r="R2" s="9"/>
      <c r="S2" s="9"/>
    </row>
    <row r="3" spans="1:19" ht="21.05" customHeight="1" x14ac:dyDescent="0.3">
      <c r="A3" s="9"/>
      <c r="B3" s="19" t="b">
        <v>1</v>
      </c>
      <c r="C3" s="19"/>
      <c r="D3" s="19"/>
      <c r="E3" s="19" t="b">
        <v>1</v>
      </c>
      <c r="F3" s="19"/>
      <c r="G3" s="19"/>
      <c r="H3" s="19" t="b">
        <v>1</v>
      </c>
      <c r="I3" s="19"/>
      <c r="J3" s="19"/>
      <c r="K3" s="19" t="b">
        <v>1</v>
      </c>
      <c r="L3" s="9"/>
      <c r="M3" s="9"/>
      <c r="N3" s="9"/>
      <c r="O3" s="9"/>
      <c r="P3" s="9"/>
      <c r="Q3" s="9"/>
      <c r="R3" s="9"/>
      <c r="S3" s="9"/>
    </row>
    <row r="4" spans="1:19" x14ac:dyDescent="0.3">
      <c r="A4" s="9"/>
      <c r="B4" s="9"/>
      <c r="C4" s="9"/>
      <c r="D4" s="9"/>
      <c r="E4" s="9"/>
      <c r="F4" s="9"/>
      <c r="G4" s="9"/>
      <c r="H4" s="9"/>
      <c r="I4" s="9"/>
      <c r="J4" s="9"/>
      <c r="K4" s="9"/>
      <c r="L4" s="9"/>
      <c r="M4" s="9"/>
      <c r="N4" s="9"/>
      <c r="O4" s="9"/>
      <c r="P4" s="9"/>
      <c r="Q4" s="9"/>
      <c r="R4" s="9"/>
      <c r="S4" s="9"/>
    </row>
    <row r="5" spans="1:19" ht="14.95" thickBot="1" x14ac:dyDescent="0.35">
      <c r="A5" s="9"/>
      <c r="B5" s="9"/>
      <c r="C5" s="9"/>
      <c r="D5" s="9"/>
      <c r="E5" s="9"/>
      <c r="F5" s="9"/>
      <c r="G5" s="9"/>
      <c r="H5" s="9"/>
      <c r="I5" s="9"/>
      <c r="J5" s="9"/>
      <c r="K5" s="9"/>
      <c r="L5" s="9"/>
      <c r="M5" s="9"/>
      <c r="N5" s="9"/>
      <c r="O5" s="9"/>
      <c r="P5" s="9"/>
      <c r="Q5" s="9"/>
      <c r="R5" s="9"/>
      <c r="S5" s="9"/>
    </row>
    <row r="6" spans="1:19" ht="18.850000000000001" thickBot="1" x14ac:dyDescent="0.45">
      <c r="A6" s="9"/>
      <c r="B6" s="16" t="s">
        <v>299</v>
      </c>
      <c r="C6" s="12" t="s">
        <v>298</v>
      </c>
      <c r="D6" s="9"/>
      <c r="E6" s="10" t="s">
        <v>299</v>
      </c>
      <c r="F6" s="11" t="s">
        <v>298</v>
      </c>
      <c r="G6" s="9"/>
      <c r="H6" s="13" t="s">
        <v>299</v>
      </c>
      <c r="I6" s="11" t="s">
        <v>300</v>
      </c>
      <c r="J6" s="9"/>
      <c r="K6" s="13" t="s">
        <v>299</v>
      </c>
      <c r="L6" s="11" t="s">
        <v>301</v>
      </c>
      <c r="M6" s="9"/>
      <c r="N6" s="9"/>
      <c r="O6" s="9"/>
      <c r="P6" s="9"/>
      <c r="Q6" s="9"/>
      <c r="R6" s="9"/>
      <c r="S6" s="9"/>
    </row>
    <row r="7" spans="1:19" ht="16.100000000000001" x14ac:dyDescent="0.35">
      <c r="A7" s="9"/>
      <c r="B7" s="17" t="s">
        <v>291</v>
      </c>
      <c r="C7" s="20">
        <v>382</v>
      </c>
      <c r="D7" s="9"/>
      <c r="E7" s="18" t="s">
        <v>81</v>
      </c>
      <c r="F7" s="20">
        <v>176</v>
      </c>
      <c r="G7" s="9"/>
      <c r="H7" s="17" t="s">
        <v>291</v>
      </c>
      <c r="I7" s="15">
        <v>0.76400000000000001</v>
      </c>
      <c r="J7" s="9"/>
      <c r="K7" s="17" t="s">
        <v>251</v>
      </c>
      <c r="L7" s="15">
        <v>0.66799999999999993</v>
      </c>
      <c r="M7" s="9"/>
      <c r="N7" s="9"/>
      <c r="O7" s="9"/>
      <c r="P7" s="9"/>
      <c r="Q7" s="9"/>
      <c r="R7" s="9"/>
      <c r="S7" s="9"/>
    </row>
    <row r="8" spans="1:19" ht="16.100000000000001" x14ac:dyDescent="0.35">
      <c r="A8" s="9"/>
      <c r="B8" s="17" t="s">
        <v>19</v>
      </c>
      <c r="C8" s="20">
        <v>379</v>
      </c>
      <c r="D8" s="9"/>
      <c r="E8" s="18" t="s">
        <v>157</v>
      </c>
      <c r="F8" s="20">
        <v>171</v>
      </c>
      <c r="G8" s="9"/>
      <c r="H8" s="17" t="s">
        <v>19</v>
      </c>
      <c r="I8" s="15">
        <v>0.75800000000000001</v>
      </c>
      <c r="J8" s="9"/>
      <c r="K8" s="17" t="s">
        <v>165</v>
      </c>
      <c r="L8" s="15">
        <v>0.71399999999999997</v>
      </c>
      <c r="M8" s="9"/>
      <c r="N8" s="9"/>
      <c r="O8" s="9"/>
      <c r="P8" s="9"/>
      <c r="Q8" s="9"/>
      <c r="R8" s="9"/>
      <c r="S8" s="9"/>
    </row>
    <row r="9" spans="1:19" ht="16.100000000000001" x14ac:dyDescent="0.35">
      <c r="A9" s="9"/>
      <c r="B9" s="17" t="s">
        <v>241</v>
      </c>
      <c r="C9" s="20">
        <v>389</v>
      </c>
      <c r="D9" s="9"/>
      <c r="E9" s="18" t="s">
        <v>151</v>
      </c>
      <c r="F9" s="20">
        <v>166</v>
      </c>
      <c r="G9" s="9"/>
      <c r="H9" s="17" t="s">
        <v>241</v>
      </c>
      <c r="I9" s="15">
        <v>0.77800000000000002</v>
      </c>
      <c r="J9" s="9"/>
      <c r="K9" s="17" t="s">
        <v>161</v>
      </c>
      <c r="L9" s="15">
        <v>0.68799999999999994</v>
      </c>
      <c r="M9" s="9"/>
      <c r="N9" s="9"/>
      <c r="O9" s="9"/>
      <c r="P9" s="9"/>
      <c r="Q9" s="9"/>
      <c r="R9" s="9"/>
      <c r="S9" s="9"/>
    </row>
    <row r="10" spans="1:19" ht="16.100000000000001" x14ac:dyDescent="0.35">
      <c r="A10" s="9"/>
      <c r="B10" s="14" t="s">
        <v>187</v>
      </c>
      <c r="C10" s="20">
        <v>384</v>
      </c>
      <c r="D10" s="9"/>
      <c r="E10" s="18" t="s">
        <v>251</v>
      </c>
      <c r="F10" s="20">
        <v>166</v>
      </c>
      <c r="G10" s="9"/>
      <c r="H10" s="17" t="s">
        <v>187</v>
      </c>
      <c r="I10" s="15">
        <v>0.76800000000000002</v>
      </c>
      <c r="J10" s="9"/>
      <c r="K10" s="17" t="s">
        <v>157</v>
      </c>
      <c r="L10" s="15">
        <v>0.65799999999999992</v>
      </c>
      <c r="M10" s="9"/>
      <c r="N10" s="9"/>
      <c r="O10" s="9"/>
      <c r="P10" s="9"/>
      <c r="Q10" s="9"/>
      <c r="R10" s="9"/>
      <c r="S10" s="9"/>
    </row>
    <row r="11" spans="1:19" ht="16.100000000000001" x14ac:dyDescent="0.35">
      <c r="A11" s="9"/>
      <c r="B11" s="17" t="s">
        <v>147</v>
      </c>
      <c r="C11" s="20">
        <v>385</v>
      </c>
      <c r="D11" s="9"/>
      <c r="E11" s="18" t="s">
        <v>161</v>
      </c>
      <c r="F11" s="20">
        <v>156</v>
      </c>
      <c r="G11" s="9"/>
      <c r="H11" s="17" t="s">
        <v>147</v>
      </c>
      <c r="I11" s="15">
        <v>0.77</v>
      </c>
      <c r="J11" s="9"/>
      <c r="K11" s="17" t="s">
        <v>151</v>
      </c>
      <c r="L11" s="15">
        <v>0.66799999999999993</v>
      </c>
      <c r="M11" s="9"/>
      <c r="N11" s="9"/>
      <c r="O11" s="9"/>
      <c r="P11" s="9"/>
      <c r="Q11" s="9"/>
      <c r="R11" s="9"/>
      <c r="S11" s="9"/>
    </row>
    <row r="12" spans="1:19" ht="16.100000000000001" x14ac:dyDescent="0.35">
      <c r="A12" s="9"/>
      <c r="B12" s="14" t="s">
        <v>43</v>
      </c>
      <c r="C12" s="20">
        <v>376</v>
      </c>
      <c r="D12" s="9"/>
      <c r="E12" s="18" t="s">
        <v>165</v>
      </c>
      <c r="F12" s="20">
        <v>143</v>
      </c>
      <c r="G12" s="9"/>
      <c r="H12" s="17" t="s">
        <v>43</v>
      </c>
      <c r="I12" s="15">
        <v>0.752</v>
      </c>
      <c r="J12" s="9"/>
      <c r="K12" s="17" t="s">
        <v>81</v>
      </c>
      <c r="L12" s="15">
        <v>0.64800000000000002</v>
      </c>
      <c r="M12" s="9"/>
      <c r="N12" s="9"/>
      <c r="O12" s="9"/>
      <c r="P12" s="9"/>
      <c r="Q12" s="9"/>
      <c r="R12" s="9"/>
      <c r="S12" s="9"/>
    </row>
    <row r="13" spans="1:19" x14ac:dyDescent="0.3">
      <c r="A13" s="9"/>
      <c r="B13" s="9"/>
      <c r="C13" s="9"/>
      <c r="D13" s="9"/>
      <c r="E13" s="9"/>
      <c r="F13" s="9"/>
      <c r="G13" s="9"/>
      <c r="H13" s="9"/>
      <c r="I13" s="9"/>
      <c r="J13" s="9"/>
      <c r="K13" s="9"/>
      <c r="L13" s="9"/>
      <c r="M13" s="9"/>
      <c r="N13" s="9"/>
      <c r="O13" s="9"/>
      <c r="P13" s="9"/>
      <c r="Q13" s="9"/>
      <c r="R13" s="9"/>
      <c r="S13" s="9"/>
    </row>
    <row r="14" spans="1:19" x14ac:dyDescent="0.3">
      <c r="A14" s="9"/>
      <c r="B14" s="9"/>
      <c r="C14" s="9"/>
      <c r="D14" s="9"/>
      <c r="E14" s="9"/>
      <c r="F14" s="9"/>
      <c r="G14" s="9"/>
      <c r="H14" s="9"/>
      <c r="I14" s="9"/>
      <c r="J14" s="9"/>
      <c r="K14" s="9"/>
      <c r="L14" s="9"/>
      <c r="M14" s="9"/>
      <c r="N14" s="9"/>
      <c r="O14" s="9"/>
      <c r="P14" s="9"/>
      <c r="Q14" s="9"/>
      <c r="R14" s="9"/>
      <c r="S14" s="9"/>
    </row>
    <row r="15" spans="1:19" x14ac:dyDescent="0.3">
      <c r="A15" s="9"/>
      <c r="B15" s="9"/>
      <c r="C15" s="9"/>
      <c r="D15" s="9"/>
      <c r="E15" s="9"/>
      <c r="F15" s="9"/>
      <c r="G15" s="9"/>
      <c r="H15" s="9"/>
      <c r="I15" s="9"/>
      <c r="J15" s="9"/>
      <c r="K15" s="9"/>
      <c r="L15" s="9"/>
      <c r="M15" s="9"/>
      <c r="N15" s="9"/>
      <c r="O15" s="9"/>
      <c r="P15" s="9"/>
      <c r="Q15" s="9"/>
      <c r="R15" s="9"/>
      <c r="S15" s="9"/>
    </row>
    <row r="16" spans="1:19" x14ac:dyDescent="0.3">
      <c r="A16" s="9"/>
      <c r="B16" s="9"/>
      <c r="C16" s="9"/>
      <c r="D16" s="9"/>
      <c r="E16" s="9"/>
      <c r="F16" s="9"/>
      <c r="G16" s="9"/>
      <c r="H16" s="9"/>
      <c r="I16" s="9"/>
      <c r="J16" s="9"/>
      <c r="K16" s="9"/>
      <c r="L16" s="9"/>
      <c r="M16" s="9"/>
      <c r="N16" s="9"/>
      <c r="O16" s="9"/>
      <c r="P16" s="9"/>
      <c r="Q16" s="9"/>
      <c r="R16" s="9"/>
      <c r="S16" s="9"/>
    </row>
    <row r="17" spans="1:19" x14ac:dyDescent="0.3">
      <c r="A17" s="9"/>
      <c r="B17" s="9"/>
      <c r="C17" s="9"/>
      <c r="D17" s="9"/>
      <c r="E17" s="9"/>
      <c r="F17" s="9"/>
      <c r="G17" s="9"/>
      <c r="H17" s="9"/>
      <c r="I17" s="9"/>
      <c r="J17" s="9"/>
      <c r="K17" s="9"/>
      <c r="L17" s="9"/>
      <c r="M17" s="9"/>
      <c r="N17" s="9"/>
      <c r="O17" s="9"/>
      <c r="P17" s="9"/>
      <c r="Q17" s="9"/>
      <c r="R17" s="9"/>
      <c r="S17" s="9"/>
    </row>
    <row r="18" spans="1:19" x14ac:dyDescent="0.3">
      <c r="A18" s="9"/>
      <c r="B18" s="9"/>
      <c r="C18" s="9"/>
      <c r="D18" s="9"/>
      <c r="E18" s="9"/>
      <c r="F18" s="9"/>
      <c r="G18" s="9"/>
      <c r="H18" s="9"/>
      <c r="I18" s="9"/>
      <c r="J18" s="9"/>
      <c r="K18" s="9"/>
      <c r="L18" s="9"/>
      <c r="M18" s="9"/>
      <c r="N18" s="9"/>
      <c r="O18" s="9"/>
      <c r="P18" s="9"/>
      <c r="Q18" s="9"/>
      <c r="R18" s="9"/>
      <c r="S18" s="9"/>
    </row>
    <row r="19" spans="1:19" x14ac:dyDescent="0.3">
      <c r="A19" s="9"/>
      <c r="B19" s="9"/>
      <c r="C19" s="9"/>
      <c r="D19" s="9"/>
      <c r="E19" s="9"/>
      <c r="F19" s="9"/>
      <c r="G19" s="9"/>
      <c r="H19" s="9"/>
      <c r="I19" s="9"/>
      <c r="J19" s="9"/>
      <c r="K19" s="9"/>
      <c r="L19" s="9"/>
      <c r="M19" s="9"/>
      <c r="N19" s="9"/>
      <c r="O19" s="9"/>
      <c r="P19" s="9"/>
      <c r="Q19" s="9"/>
      <c r="R19" s="9"/>
      <c r="S19" s="9"/>
    </row>
    <row r="20" spans="1:19" x14ac:dyDescent="0.3">
      <c r="A20" s="9"/>
      <c r="B20" s="9"/>
      <c r="C20" s="9"/>
      <c r="D20" s="9"/>
      <c r="E20" s="9"/>
      <c r="F20" s="9"/>
      <c r="G20" s="9"/>
      <c r="H20" s="9"/>
      <c r="I20" s="9"/>
      <c r="J20" s="9"/>
      <c r="K20" s="9"/>
      <c r="L20" s="9"/>
      <c r="M20" s="9"/>
      <c r="N20" s="9"/>
      <c r="O20" s="9"/>
      <c r="P20" s="9"/>
      <c r="Q20" s="9"/>
      <c r="R20" s="9"/>
      <c r="S20" s="9"/>
    </row>
    <row r="21" spans="1:19" x14ac:dyDescent="0.3">
      <c r="A21" s="9"/>
      <c r="B21" s="9"/>
      <c r="C21" s="9"/>
      <c r="D21" s="9"/>
      <c r="E21" s="9"/>
      <c r="F21" s="9"/>
      <c r="G21" s="9"/>
      <c r="H21" s="9"/>
      <c r="I21" s="9"/>
      <c r="J21" s="9"/>
      <c r="K21" s="9"/>
      <c r="L21" s="9"/>
      <c r="M21" s="9"/>
      <c r="N21" s="9"/>
      <c r="O21" s="9"/>
      <c r="P21" s="9"/>
      <c r="Q21" s="9"/>
      <c r="R21" s="9"/>
      <c r="S21" s="9"/>
    </row>
    <row r="22" spans="1:19" x14ac:dyDescent="0.3">
      <c r="A22" s="9"/>
      <c r="B22" s="9"/>
      <c r="C22" s="9"/>
      <c r="D22" s="9"/>
      <c r="E22" s="9"/>
      <c r="F22" s="9"/>
      <c r="G22" s="9"/>
      <c r="H22" s="9"/>
      <c r="I22" s="9"/>
      <c r="J22" s="9"/>
      <c r="K22" s="9"/>
      <c r="L22" s="9"/>
      <c r="M22" s="9"/>
      <c r="N22" s="9"/>
      <c r="O22" s="9"/>
      <c r="P22" s="9"/>
      <c r="Q22" s="9"/>
      <c r="R22" s="9"/>
      <c r="S22" s="9"/>
    </row>
    <row r="23" spans="1:19" x14ac:dyDescent="0.3">
      <c r="A23" s="9"/>
      <c r="B23" s="9"/>
      <c r="C23" s="9"/>
      <c r="D23" s="9"/>
      <c r="E23" s="9"/>
      <c r="F23" s="9"/>
      <c r="G23" s="9"/>
      <c r="H23" s="9"/>
      <c r="I23" s="9"/>
      <c r="J23" s="9"/>
      <c r="K23" s="9"/>
      <c r="L23" s="9"/>
      <c r="M23" s="9"/>
      <c r="N23" s="9"/>
      <c r="O23" s="9"/>
      <c r="P23" s="9"/>
      <c r="Q23" s="9"/>
      <c r="R23" s="9"/>
      <c r="S23" s="9"/>
    </row>
    <row r="24" spans="1:19" x14ac:dyDescent="0.3">
      <c r="A24" s="9"/>
      <c r="B24" s="9"/>
      <c r="C24" s="9"/>
      <c r="D24" s="9"/>
      <c r="E24" s="9"/>
      <c r="F24" s="9"/>
      <c r="G24" s="9"/>
      <c r="H24" s="9"/>
      <c r="I24" s="9"/>
      <c r="J24" s="9"/>
      <c r="K24" s="9"/>
      <c r="L24" s="9"/>
      <c r="M24" s="9"/>
      <c r="N24" s="9"/>
      <c r="O24" s="9"/>
      <c r="P24" s="9"/>
      <c r="Q24" s="9"/>
      <c r="R24" s="9"/>
      <c r="S24" s="9"/>
    </row>
    <row r="25" spans="1:19" x14ac:dyDescent="0.3">
      <c r="A25" s="9"/>
      <c r="B25" s="9"/>
      <c r="C25" s="9"/>
      <c r="D25" s="9"/>
      <c r="E25" s="9"/>
      <c r="F25" s="9"/>
      <c r="G25" s="9"/>
      <c r="H25" s="9"/>
      <c r="I25" s="9"/>
      <c r="J25" s="9"/>
      <c r="K25" s="9"/>
      <c r="L25" s="9"/>
      <c r="M25" s="9"/>
      <c r="N25" s="9"/>
      <c r="O25" s="9"/>
      <c r="P25" s="9"/>
      <c r="Q25" s="9"/>
      <c r="R25" s="9"/>
      <c r="S25" s="9"/>
    </row>
    <row r="26" spans="1:19" x14ac:dyDescent="0.3">
      <c r="A26" s="9"/>
      <c r="B26" s="9"/>
      <c r="C26" s="9"/>
      <c r="D26" s="9"/>
      <c r="E26" s="9"/>
      <c r="F26" s="9"/>
      <c r="G26" s="9"/>
      <c r="H26" s="9"/>
      <c r="I26" s="9"/>
      <c r="J26" s="9"/>
      <c r="K26" s="9"/>
      <c r="L26" s="9"/>
      <c r="M26" s="9"/>
      <c r="N26" s="9"/>
      <c r="O26" s="9"/>
      <c r="P26" s="9"/>
      <c r="Q26" s="9"/>
      <c r="R26" s="9"/>
      <c r="S26" s="9"/>
    </row>
    <row r="27" spans="1:19" x14ac:dyDescent="0.3">
      <c r="A27" s="9"/>
      <c r="B27" s="9"/>
      <c r="C27" s="9"/>
      <c r="D27" s="9"/>
      <c r="E27" s="9"/>
      <c r="F27" s="9"/>
      <c r="G27" s="9"/>
      <c r="H27" s="9"/>
      <c r="I27" s="9"/>
      <c r="J27" s="9"/>
      <c r="K27" s="9"/>
      <c r="L27" s="9"/>
      <c r="M27" s="9"/>
      <c r="N27" s="9"/>
      <c r="O27" s="9"/>
      <c r="P27" s="9"/>
      <c r="Q27" s="9"/>
      <c r="R27" s="9"/>
      <c r="S27" s="9"/>
    </row>
    <row r="28" spans="1:19" x14ac:dyDescent="0.3">
      <c r="A28" s="9"/>
      <c r="B28" s="9"/>
      <c r="C28" s="9"/>
      <c r="D28" s="9"/>
      <c r="E28" s="9"/>
      <c r="F28" s="9"/>
      <c r="G28" s="9"/>
      <c r="H28" s="9"/>
      <c r="I28" s="9"/>
      <c r="J28" s="9"/>
      <c r="K28" s="9"/>
      <c r="L28" s="9"/>
      <c r="M28" s="9"/>
      <c r="N28" s="9"/>
      <c r="O28" s="9"/>
      <c r="P28" s="9"/>
      <c r="Q28" s="9"/>
      <c r="R28" s="9"/>
      <c r="S28" s="9"/>
    </row>
    <row r="29" spans="1:19" x14ac:dyDescent="0.3">
      <c r="A29" s="9"/>
      <c r="B29" s="9"/>
      <c r="C29" s="9"/>
      <c r="D29" s="9"/>
      <c r="E29" s="9"/>
      <c r="F29" s="9"/>
      <c r="G29" s="9"/>
      <c r="H29" s="9"/>
      <c r="I29" s="9"/>
      <c r="J29" s="9"/>
      <c r="K29" s="9"/>
      <c r="L29" s="9"/>
      <c r="M29" s="9"/>
      <c r="N29" s="9"/>
      <c r="O29" s="9"/>
      <c r="P29" s="9"/>
      <c r="Q29" s="9"/>
      <c r="R29" s="9"/>
      <c r="S29" s="9"/>
    </row>
    <row r="30" spans="1:19" x14ac:dyDescent="0.3">
      <c r="A30" s="9"/>
      <c r="B30" s="9"/>
      <c r="C30" s="9"/>
      <c r="D30" s="9"/>
      <c r="E30" s="9"/>
      <c r="F30" s="9"/>
      <c r="G30" s="9"/>
      <c r="H30" s="9"/>
      <c r="I30" s="9"/>
      <c r="J30" s="9"/>
      <c r="K30" s="9"/>
      <c r="L30" s="9"/>
      <c r="M30" s="9"/>
      <c r="N30" s="9"/>
      <c r="O30" s="9"/>
      <c r="P30" s="9"/>
      <c r="Q30" s="9"/>
      <c r="R30" s="9"/>
      <c r="S30" s="9"/>
    </row>
    <row r="31" spans="1:19" x14ac:dyDescent="0.3">
      <c r="A31" s="9"/>
      <c r="B31" s="9"/>
      <c r="C31" s="9"/>
      <c r="D31" s="9"/>
      <c r="E31" s="9"/>
      <c r="F31" s="9"/>
      <c r="G31" s="9"/>
      <c r="H31" s="9"/>
      <c r="I31" s="9"/>
      <c r="J31" s="9"/>
      <c r="K31" s="9"/>
      <c r="L31" s="9"/>
      <c r="M31" s="9"/>
      <c r="N31" s="9"/>
      <c r="O31" s="9"/>
      <c r="P31" s="9"/>
      <c r="Q31" s="9"/>
      <c r="R31" s="9"/>
      <c r="S31" s="9"/>
    </row>
    <row r="32" spans="1:19" x14ac:dyDescent="0.3">
      <c r="A32" s="9"/>
      <c r="B32" s="9"/>
      <c r="C32" s="9"/>
      <c r="D32" s="9"/>
      <c r="E32" s="9"/>
      <c r="F32" s="9"/>
      <c r="G32" s="9"/>
      <c r="H32" s="9"/>
      <c r="I32" s="9"/>
      <c r="J32" s="9"/>
      <c r="K32" s="9"/>
      <c r="L32" s="9"/>
      <c r="M32" s="9"/>
      <c r="N32" s="9"/>
      <c r="O32" s="9"/>
      <c r="P32" s="9"/>
      <c r="Q32" s="9"/>
      <c r="R32" s="9"/>
      <c r="S32" s="9"/>
    </row>
    <row r="33" spans="1:19" x14ac:dyDescent="0.3">
      <c r="A33" s="9"/>
      <c r="B33" s="9"/>
      <c r="C33" s="9"/>
      <c r="D33" s="9"/>
      <c r="E33" s="9"/>
      <c r="F33" s="9"/>
      <c r="G33" s="9"/>
      <c r="H33" s="9"/>
      <c r="I33" s="9"/>
      <c r="J33" s="9"/>
      <c r="K33" s="9"/>
      <c r="L33" s="9"/>
      <c r="M33" s="9"/>
      <c r="N33" s="9"/>
      <c r="O33" s="9"/>
      <c r="P33" s="9"/>
      <c r="Q33" s="9"/>
      <c r="R33" s="9"/>
      <c r="S33" s="9"/>
    </row>
    <row r="34" spans="1:19" x14ac:dyDescent="0.3">
      <c r="A34" s="9"/>
      <c r="B34" s="9"/>
      <c r="C34" s="9"/>
      <c r="D34" s="9"/>
      <c r="E34" s="9"/>
      <c r="F34" s="9"/>
      <c r="G34" s="9"/>
      <c r="H34" s="9"/>
      <c r="I34" s="9"/>
      <c r="J34" s="9"/>
      <c r="K34" s="9"/>
      <c r="L34" s="9"/>
      <c r="M34" s="9"/>
      <c r="N34" s="9"/>
      <c r="O34" s="9"/>
      <c r="P34" s="9"/>
      <c r="Q34" s="9"/>
      <c r="R34" s="9"/>
      <c r="S34" s="9"/>
    </row>
    <row r="147" ht="14.95" thickBot="1" x14ac:dyDescent="0.35"/>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locked="0" defaultSize="0" autoFill="0" autoLine="0" autoPict="0" macro="[0]!Module1.SlicerConnection">
                <anchor moveWithCells="1">
                  <from>
                    <xdr:col>13</xdr:col>
                    <xdr:colOff>98474</xdr:colOff>
                    <xdr:row>6</xdr:row>
                    <xdr:rowOff>154745</xdr:rowOff>
                  </from>
                  <to>
                    <xdr:col>13</xdr:col>
                    <xdr:colOff>998806</xdr:colOff>
                    <xdr:row>7</xdr:row>
                    <xdr:rowOff>182880</xdr:rowOff>
                  </to>
                </anchor>
              </controlPr>
            </control>
          </mc:Choice>
        </mc:AlternateContent>
        <mc:AlternateContent xmlns:mc="http://schemas.openxmlformats.org/markup-compatibility/2006">
          <mc:Choice Requires="x14">
            <control shapeId="3075" r:id="rId8" name="Check Box 3">
              <controlPr locked="0" defaultSize="0" autoFill="0" autoLine="0" autoPict="0" macro="[0]!SlicerConnection">
                <anchor moveWithCells="1">
                  <from>
                    <xdr:col>13</xdr:col>
                    <xdr:colOff>98474</xdr:colOff>
                    <xdr:row>8</xdr:row>
                    <xdr:rowOff>126609</xdr:rowOff>
                  </from>
                  <to>
                    <xdr:col>13</xdr:col>
                    <xdr:colOff>998806</xdr:colOff>
                    <xdr:row>9</xdr:row>
                    <xdr:rowOff>154745</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ltText="DashBoard 2">
                <anchor moveWithCells="1">
                  <from>
                    <xdr:col>14</xdr:col>
                    <xdr:colOff>98474</xdr:colOff>
                    <xdr:row>6</xdr:row>
                    <xdr:rowOff>161778</xdr:rowOff>
                  </from>
                  <to>
                    <xdr:col>14</xdr:col>
                    <xdr:colOff>998806</xdr:colOff>
                    <xdr:row>7</xdr:row>
                    <xdr:rowOff>189914</xdr:rowOff>
                  </to>
                </anchor>
              </controlPr>
            </control>
          </mc:Choice>
        </mc:AlternateContent>
        <mc:AlternateContent xmlns:mc="http://schemas.openxmlformats.org/markup-compatibility/2006">
          <mc:Choice Requires="x14">
            <control shapeId="3077" r:id="rId10" name="Check Box 5">
              <controlPr locked="0" defaultSize="0" autoFill="0" autoLine="0" autoPict="0" macro="[0]!SlicerConnection" altText="DashBoard 4">
                <anchor moveWithCells="1">
                  <from>
                    <xdr:col>14</xdr:col>
                    <xdr:colOff>98474</xdr:colOff>
                    <xdr:row>8</xdr:row>
                    <xdr:rowOff>126609</xdr:rowOff>
                  </from>
                  <to>
                    <xdr:col>14</xdr:col>
                    <xdr:colOff>998806</xdr:colOff>
                    <xdr:row>9</xdr:row>
                    <xdr:rowOff>154745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0"/>
  <sheetViews>
    <sheetView topLeftCell="A88" zoomScale="130" zoomScaleNormal="130" workbookViewId="0">
      <selection activeCell="A89" sqref="A89:XFD89"/>
    </sheetView>
  </sheetViews>
  <sheetFormatPr defaultRowHeight="14.4" x14ac:dyDescent="0.3"/>
  <cols>
    <col min="1" max="1" width="11.3984375" bestFit="1" customWidth="1"/>
    <col min="2" max="2" width="20.19921875" customWidth="1"/>
    <col min="3" max="3" width="10.69921875" customWidth="1"/>
    <col min="4" max="4" width="8" customWidth="1"/>
    <col min="5" max="8" width="5" bestFit="1" customWidth="1"/>
    <col min="9" max="9" width="9.296875" bestFit="1" customWidth="1"/>
    <col min="10" max="10" width="6" bestFit="1" customWidth="1"/>
    <col min="11" max="11" width="10.59765625" bestFit="1" customWidth="1"/>
    <col min="12" max="12" width="17.29687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29" si="3">SUM(D67:H67)</f>
        <v>166</v>
      </c>
      <c r="J67" s="5">
        <v>500</v>
      </c>
      <c r="K67" s="6">
        <f t="shared" ref="K67:K129" si="4">I67/J67</f>
        <v>0.33200000000000002</v>
      </c>
      <c r="L67" s="7">
        <f t="shared" ref="L67:L129"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14</v>
      </c>
      <c r="D89" s="4">
        <v>72</v>
      </c>
      <c r="E89" s="4">
        <v>82</v>
      </c>
      <c r="F89" s="4">
        <v>58</v>
      </c>
      <c r="G89" s="4">
        <v>36</v>
      </c>
      <c r="H89" s="4">
        <v>33</v>
      </c>
      <c r="I89" s="5">
        <f t="shared" si="3"/>
        <v>281</v>
      </c>
      <c r="J89" s="5">
        <v>500</v>
      </c>
      <c r="K89" s="6">
        <f t="shared" si="4"/>
        <v>0.56200000000000006</v>
      </c>
      <c r="L89" s="7">
        <f t="shared" si="5"/>
        <v>0.43799999999999994</v>
      </c>
    </row>
    <row r="90" spans="1:12" x14ac:dyDescent="0.3">
      <c r="A90" s="2" t="s">
        <v>196</v>
      </c>
      <c r="B90" s="3" t="s">
        <v>197</v>
      </c>
      <c r="C90" s="3" t="s">
        <v>17</v>
      </c>
      <c r="D90" s="4">
        <v>11</v>
      </c>
      <c r="E90" s="4">
        <v>69</v>
      </c>
      <c r="F90" s="4">
        <v>49</v>
      </c>
      <c r="G90" s="4">
        <v>90</v>
      </c>
      <c r="H90" s="4">
        <v>99</v>
      </c>
      <c r="I90" s="5">
        <f t="shared" si="3"/>
        <v>318</v>
      </c>
      <c r="J90" s="5">
        <v>500</v>
      </c>
      <c r="K90" s="6">
        <f t="shared" si="4"/>
        <v>0.63600000000000001</v>
      </c>
      <c r="L90" s="7">
        <f t="shared" si="5"/>
        <v>0.36399999999999999</v>
      </c>
    </row>
    <row r="91" spans="1:12" x14ac:dyDescent="0.3">
      <c r="A91" s="2" t="s">
        <v>198</v>
      </c>
      <c r="B91" s="3" t="s">
        <v>199</v>
      </c>
      <c r="C91" s="3" t="s">
        <v>20</v>
      </c>
      <c r="D91" s="4">
        <v>80</v>
      </c>
      <c r="E91" s="4">
        <v>73</v>
      </c>
      <c r="F91" s="4">
        <v>21</v>
      </c>
      <c r="G91" s="4">
        <v>72</v>
      </c>
      <c r="H91" s="4">
        <v>54</v>
      </c>
      <c r="I91" s="5">
        <f t="shared" si="3"/>
        <v>300</v>
      </c>
      <c r="J91" s="5">
        <v>500</v>
      </c>
      <c r="K91" s="6">
        <f t="shared" si="4"/>
        <v>0.6</v>
      </c>
      <c r="L91" s="7">
        <f t="shared" si="5"/>
        <v>0.4</v>
      </c>
    </row>
    <row r="92" spans="1:12" x14ac:dyDescent="0.3">
      <c r="A92" s="2" t="s">
        <v>200</v>
      </c>
      <c r="B92" s="3" t="s">
        <v>201</v>
      </c>
      <c r="C92" s="3" t="s">
        <v>23</v>
      </c>
      <c r="D92" s="4">
        <v>93</v>
      </c>
      <c r="E92" s="4">
        <v>42</v>
      </c>
      <c r="F92" s="4">
        <v>38</v>
      </c>
      <c r="G92" s="4">
        <v>98</v>
      </c>
      <c r="H92" s="4">
        <v>10</v>
      </c>
      <c r="I92" s="5">
        <f t="shared" si="3"/>
        <v>281</v>
      </c>
      <c r="J92" s="5">
        <v>500</v>
      </c>
      <c r="K92" s="6">
        <f t="shared" si="4"/>
        <v>0.56200000000000006</v>
      </c>
      <c r="L92" s="7">
        <f t="shared" si="5"/>
        <v>0.43799999999999994</v>
      </c>
    </row>
    <row r="93" spans="1:12" x14ac:dyDescent="0.3">
      <c r="A93" s="2" t="s">
        <v>202</v>
      </c>
      <c r="B93" s="3" t="s">
        <v>203</v>
      </c>
      <c r="C93" s="3" t="s">
        <v>26</v>
      </c>
      <c r="D93" s="4">
        <v>18</v>
      </c>
      <c r="E93" s="4">
        <v>80</v>
      </c>
      <c r="F93" s="4">
        <v>20</v>
      </c>
      <c r="G93" s="4">
        <v>32</v>
      </c>
      <c r="H93" s="4">
        <v>95</v>
      </c>
      <c r="I93" s="5">
        <f t="shared" si="3"/>
        <v>245</v>
      </c>
      <c r="J93" s="5">
        <v>500</v>
      </c>
      <c r="K93" s="6">
        <f t="shared" si="4"/>
        <v>0.49</v>
      </c>
      <c r="L93" s="7">
        <f t="shared" si="5"/>
        <v>0.51</v>
      </c>
    </row>
    <row r="94" spans="1:12" x14ac:dyDescent="0.3">
      <c r="A94" s="2" t="s">
        <v>204</v>
      </c>
      <c r="B94" s="3" t="s">
        <v>205</v>
      </c>
      <c r="C94" s="3" t="s">
        <v>29</v>
      </c>
      <c r="D94" s="4">
        <v>96</v>
      </c>
      <c r="E94" s="4">
        <v>14</v>
      </c>
      <c r="F94" s="4">
        <v>20</v>
      </c>
      <c r="G94" s="4">
        <v>31</v>
      </c>
      <c r="H94" s="4">
        <v>44</v>
      </c>
      <c r="I94" s="5">
        <f t="shared" si="3"/>
        <v>205</v>
      </c>
      <c r="J94" s="5">
        <v>500</v>
      </c>
      <c r="K94" s="6">
        <f t="shared" si="4"/>
        <v>0.41</v>
      </c>
      <c r="L94" s="7">
        <f t="shared" si="5"/>
        <v>0.59000000000000008</v>
      </c>
    </row>
    <row r="95" spans="1:12" x14ac:dyDescent="0.3">
      <c r="A95" s="2" t="s">
        <v>206</v>
      </c>
      <c r="B95" s="3" t="s">
        <v>207</v>
      </c>
      <c r="C95" s="3" t="s">
        <v>32</v>
      </c>
      <c r="D95" s="4">
        <v>37</v>
      </c>
      <c r="E95" s="4">
        <v>60</v>
      </c>
      <c r="F95" s="4">
        <v>50</v>
      </c>
      <c r="G95" s="4">
        <v>68</v>
      </c>
      <c r="H95" s="4">
        <v>19</v>
      </c>
      <c r="I95" s="5">
        <f t="shared" si="3"/>
        <v>234</v>
      </c>
      <c r="J95" s="5">
        <v>500</v>
      </c>
      <c r="K95" s="6">
        <f t="shared" si="4"/>
        <v>0.46800000000000003</v>
      </c>
      <c r="L95" s="7">
        <f t="shared" si="5"/>
        <v>0.53200000000000003</v>
      </c>
    </row>
    <row r="96" spans="1:12" x14ac:dyDescent="0.3">
      <c r="A96" s="2" t="s">
        <v>208</v>
      </c>
      <c r="B96" s="3" t="s">
        <v>209</v>
      </c>
      <c r="C96" s="3" t="s">
        <v>35</v>
      </c>
      <c r="D96" s="4">
        <v>35</v>
      </c>
      <c r="E96" s="4">
        <v>79</v>
      </c>
      <c r="F96" s="4">
        <v>17</v>
      </c>
      <c r="G96" s="4">
        <v>85</v>
      </c>
      <c r="H96" s="4">
        <v>16</v>
      </c>
      <c r="I96" s="5">
        <f t="shared" si="3"/>
        <v>232</v>
      </c>
      <c r="J96" s="5">
        <v>500</v>
      </c>
      <c r="K96" s="6">
        <f t="shared" si="4"/>
        <v>0.46400000000000002</v>
      </c>
      <c r="L96" s="7">
        <f t="shared" si="5"/>
        <v>0.53600000000000003</v>
      </c>
    </row>
    <row r="97" spans="1:12" x14ac:dyDescent="0.3">
      <c r="A97" s="2" t="s">
        <v>210</v>
      </c>
      <c r="B97" s="3" t="s">
        <v>211</v>
      </c>
      <c r="C97" s="3" t="s">
        <v>14</v>
      </c>
      <c r="D97" s="4">
        <v>31</v>
      </c>
      <c r="E97" s="4">
        <v>48</v>
      </c>
      <c r="F97" s="4">
        <v>56</v>
      </c>
      <c r="G97" s="4">
        <v>85</v>
      </c>
      <c r="H97" s="4">
        <v>25</v>
      </c>
      <c r="I97" s="5">
        <f t="shared" si="3"/>
        <v>245</v>
      </c>
      <c r="J97" s="5">
        <v>500</v>
      </c>
      <c r="K97" s="6">
        <f t="shared" si="4"/>
        <v>0.49</v>
      </c>
      <c r="L97" s="7">
        <f t="shared" si="5"/>
        <v>0.51</v>
      </c>
    </row>
    <row r="98" spans="1:12" x14ac:dyDescent="0.3">
      <c r="A98" s="2" t="s">
        <v>212</v>
      </c>
      <c r="B98" s="3" t="s">
        <v>213</v>
      </c>
      <c r="C98" s="3" t="s">
        <v>17</v>
      </c>
      <c r="D98" s="4">
        <v>23</v>
      </c>
      <c r="E98" s="4">
        <v>83</v>
      </c>
      <c r="F98" s="4">
        <v>86</v>
      </c>
      <c r="G98" s="4">
        <v>69</v>
      </c>
      <c r="H98" s="4">
        <v>25</v>
      </c>
      <c r="I98" s="5">
        <f t="shared" si="3"/>
        <v>286</v>
      </c>
      <c r="J98" s="5">
        <v>500</v>
      </c>
      <c r="K98" s="6">
        <f t="shared" si="4"/>
        <v>0.57199999999999995</v>
      </c>
      <c r="L98" s="7">
        <f t="shared" si="5"/>
        <v>0.42800000000000005</v>
      </c>
    </row>
    <row r="99" spans="1:12" x14ac:dyDescent="0.3">
      <c r="A99" s="2" t="s">
        <v>214</v>
      </c>
      <c r="B99" s="3" t="s">
        <v>215</v>
      </c>
      <c r="C99" s="3" t="s">
        <v>20</v>
      </c>
      <c r="D99" s="4">
        <v>17</v>
      </c>
      <c r="E99" s="4">
        <v>97</v>
      </c>
      <c r="F99" s="4">
        <v>81</v>
      </c>
      <c r="G99" s="4">
        <v>32</v>
      </c>
      <c r="H99" s="4">
        <v>76</v>
      </c>
      <c r="I99" s="5">
        <f t="shared" si="3"/>
        <v>303</v>
      </c>
      <c r="J99" s="5">
        <v>500</v>
      </c>
      <c r="K99" s="6">
        <f t="shared" si="4"/>
        <v>0.60599999999999998</v>
      </c>
      <c r="L99" s="7">
        <f t="shared" si="5"/>
        <v>0.39400000000000002</v>
      </c>
    </row>
    <row r="100" spans="1:12" x14ac:dyDescent="0.3">
      <c r="A100" s="2" t="s">
        <v>216</v>
      </c>
      <c r="B100" s="3" t="s">
        <v>217</v>
      </c>
      <c r="C100" s="3" t="s">
        <v>23</v>
      </c>
      <c r="D100" s="4">
        <v>92</v>
      </c>
      <c r="E100" s="4">
        <v>45</v>
      </c>
      <c r="F100" s="4">
        <v>43</v>
      </c>
      <c r="G100" s="4">
        <v>91</v>
      </c>
      <c r="H100" s="4">
        <v>47</v>
      </c>
      <c r="I100" s="5">
        <f t="shared" si="3"/>
        <v>318</v>
      </c>
      <c r="J100" s="5">
        <v>500</v>
      </c>
      <c r="K100" s="6">
        <f t="shared" si="4"/>
        <v>0.63600000000000001</v>
      </c>
      <c r="L100" s="7">
        <f t="shared" si="5"/>
        <v>0.36399999999999999</v>
      </c>
    </row>
    <row r="101" spans="1:12" x14ac:dyDescent="0.3">
      <c r="A101" s="2" t="s">
        <v>218</v>
      </c>
      <c r="B101" s="3" t="s">
        <v>219</v>
      </c>
      <c r="C101" s="3" t="s">
        <v>26</v>
      </c>
      <c r="D101" s="4">
        <v>49</v>
      </c>
      <c r="E101" s="4">
        <v>77</v>
      </c>
      <c r="F101" s="4">
        <v>18</v>
      </c>
      <c r="G101" s="4">
        <v>69</v>
      </c>
      <c r="H101" s="4">
        <v>55</v>
      </c>
      <c r="I101" s="5">
        <f t="shared" si="3"/>
        <v>268</v>
      </c>
      <c r="J101" s="5">
        <v>500</v>
      </c>
      <c r="K101" s="6">
        <f t="shared" si="4"/>
        <v>0.53600000000000003</v>
      </c>
      <c r="L101" s="7">
        <f t="shared" si="5"/>
        <v>0.46399999999999997</v>
      </c>
    </row>
    <row r="102" spans="1:12" x14ac:dyDescent="0.3">
      <c r="A102" s="2" t="s">
        <v>220</v>
      </c>
      <c r="B102" s="3" t="s">
        <v>221</v>
      </c>
      <c r="C102" s="3" t="s">
        <v>29</v>
      </c>
      <c r="D102" s="4">
        <v>81</v>
      </c>
      <c r="E102" s="4">
        <v>88</v>
      </c>
      <c r="F102" s="4">
        <v>19</v>
      </c>
      <c r="G102" s="4">
        <v>95</v>
      </c>
      <c r="H102" s="4">
        <v>39</v>
      </c>
      <c r="I102" s="5">
        <f t="shared" si="3"/>
        <v>322</v>
      </c>
      <c r="J102" s="5">
        <v>500</v>
      </c>
      <c r="K102" s="6">
        <f t="shared" si="4"/>
        <v>0.64400000000000002</v>
      </c>
      <c r="L102" s="7">
        <f t="shared" si="5"/>
        <v>0.35599999999999998</v>
      </c>
    </row>
    <row r="103" spans="1:12" x14ac:dyDescent="0.3">
      <c r="A103" s="2" t="s">
        <v>222</v>
      </c>
      <c r="B103" s="3" t="s">
        <v>223</v>
      </c>
      <c r="C103" s="3" t="s">
        <v>32</v>
      </c>
      <c r="D103" s="4">
        <v>55</v>
      </c>
      <c r="E103" s="4">
        <v>14</v>
      </c>
      <c r="F103" s="4">
        <v>41</v>
      </c>
      <c r="G103" s="4">
        <v>40</v>
      </c>
      <c r="H103" s="4">
        <v>70</v>
      </c>
      <c r="I103" s="5">
        <f t="shared" si="3"/>
        <v>220</v>
      </c>
      <c r="J103" s="5">
        <v>500</v>
      </c>
      <c r="K103" s="6">
        <f t="shared" si="4"/>
        <v>0.44</v>
      </c>
      <c r="L103" s="7">
        <f t="shared" si="5"/>
        <v>0.56000000000000005</v>
      </c>
    </row>
    <row r="104" spans="1:12" x14ac:dyDescent="0.3">
      <c r="A104" s="2" t="s">
        <v>224</v>
      </c>
      <c r="B104" s="3" t="s">
        <v>225</v>
      </c>
      <c r="C104" s="3" t="s">
        <v>35</v>
      </c>
      <c r="D104" s="4">
        <v>86</v>
      </c>
      <c r="E104" s="4">
        <v>13</v>
      </c>
      <c r="F104" s="4">
        <v>99</v>
      </c>
      <c r="G104" s="4">
        <v>25</v>
      </c>
      <c r="H104" s="4">
        <v>83</v>
      </c>
      <c r="I104" s="5">
        <f t="shared" si="3"/>
        <v>306</v>
      </c>
      <c r="J104" s="5">
        <v>500</v>
      </c>
      <c r="K104" s="6">
        <f t="shared" si="4"/>
        <v>0.61199999999999999</v>
      </c>
      <c r="L104" s="7">
        <f t="shared" si="5"/>
        <v>0.38800000000000001</v>
      </c>
    </row>
    <row r="105" spans="1:12" x14ac:dyDescent="0.3">
      <c r="A105" s="2" t="s">
        <v>226</v>
      </c>
      <c r="B105" s="3" t="s">
        <v>227</v>
      </c>
      <c r="C105" s="3" t="s">
        <v>14</v>
      </c>
      <c r="D105" s="4">
        <v>88</v>
      </c>
      <c r="E105" s="4">
        <v>96</v>
      </c>
      <c r="F105" s="4">
        <v>16</v>
      </c>
      <c r="G105" s="4">
        <v>65</v>
      </c>
      <c r="H105" s="4">
        <v>86</v>
      </c>
      <c r="I105" s="5">
        <f t="shared" si="3"/>
        <v>351</v>
      </c>
      <c r="J105" s="5">
        <v>500</v>
      </c>
      <c r="K105" s="6">
        <f t="shared" si="4"/>
        <v>0.70199999999999996</v>
      </c>
      <c r="L105" s="7">
        <f t="shared" si="5"/>
        <v>0.29800000000000004</v>
      </c>
    </row>
    <row r="106" spans="1:12" x14ac:dyDescent="0.3">
      <c r="A106" s="2" t="s">
        <v>228</v>
      </c>
      <c r="B106" s="3" t="s">
        <v>229</v>
      </c>
      <c r="C106" s="3" t="s">
        <v>17</v>
      </c>
      <c r="D106" s="4">
        <v>61</v>
      </c>
      <c r="E106" s="4">
        <v>73</v>
      </c>
      <c r="F106" s="4">
        <v>34</v>
      </c>
      <c r="G106" s="4">
        <v>30</v>
      </c>
      <c r="H106" s="4">
        <v>30</v>
      </c>
      <c r="I106" s="5">
        <f t="shared" si="3"/>
        <v>228</v>
      </c>
      <c r="J106" s="5">
        <v>500</v>
      </c>
      <c r="K106" s="6">
        <f t="shared" si="4"/>
        <v>0.45600000000000002</v>
      </c>
      <c r="L106" s="7">
        <f t="shared" si="5"/>
        <v>0.54400000000000004</v>
      </c>
    </row>
    <row r="107" spans="1:12" x14ac:dyDescent="0.3">
      <c r="A107" s="2" t="s">
        <v>230</v>
      </c>
      <c r="B107" s="3" t="s">
        <v>231</v>
      </c>
      <c r="C107" s="3" t="s">
        <v>20</v>
      </c>
      <c r="D107" s="4">
        <v>61</v>
      </c>
      <c r="E107" s="4">
        <v>91</v>
      </c>
      <c r="F107" s="4">
        <v>53</v>
      </c>
      <c r="G107" s="4">
        <v>78</v>
      </c>
      <c r="H107" s="4">
        <v>91</v>
      </c>
      <c r="I107" s="5">
        <f t="shared" si="3"/>
        <v>374</v>
      </c>
      <c r="J107" s="5">
        <v>500</v>
      </c>
      <c r="K107" s="6">
        <f t="shared" si="4"/>
        <v>0.748</v>
      </c>
      <c r="L107" s="7">
        <f t="shared" si="5"/>
        <v>0.252</v>
      </c>
    </row>
    <row r="108" spans="1:12" x14ac:dyDescent="0.3">
      <c r="A108" s="2" t="s">
        <v>232</v>
      </c>
      <c r="B108" s="3" t="s">
        <v>233</v>
      </c>
      <c r="C108" s="3" t="s">
        <v>23</v>
      </c>
      <c r="D108" s="4">
        <v>75</v>
      </c>
      <c r="E108" s="4">
        <v>53</v>
      </c>
      <c r="F108" s="4">
        <v>27</v>
      </c>
      <c r="G108" s="4">
        <v>26</v>
      </c>
      <c r="H108" s="4">
        <v>30</v>
      </c>
      <c r="I108" s="5">
        <f t="shared" si="3"/>
        <v>211</v>
      </c>
      <c r="J108" s="5">
        <v>500</v>
      </c>
      <c r="K108" s="6">
        <f t="shared" si="4"/>
        <v>0.42199999999999999</v>
      </c>
      <c r="L108" s="7">
        <f t="shared" si="5"/>
        <v>0.57800000000000007</v>
      </c>
    </row>
    <row r="109" spans="1:12" x14ac:dyDescent="0.3">
      <c r="A109" s="2" t="s">
        <v>234</v>
      </c>
      <c r="B109" s="3" t="s">
        <v>235</v>
      </c>
      <c r="C109" s="3" t="s">
        <v>26</v>
      </c>
      <c r="D109" s="4">
        <v>24</v>
      </c>
      <c r="E109" s="4">
        <v>31</v>
      </c>
      <c r="F109" s="4">
        <v>41</v>
      </c>
      <c r="G109" s="4">
        <v>57</v>
      </c>
      <c r="H109" s="4">
        <v>83</v>
      </c>
      <c r="I109" s="5">
        <f t="shared" si="3"/>
        <v>236</v>
      </c>
      <c r="J109" s="5">
        <v>500</v>
      </c>
      <c r="K109" s="6">
        <f t="shared" si="4"/>
        <v>0.47199999999999998</v>
      </c>
      <c r="L109" s="7">
        <f t="shared" si="5"/>
        <v>0.52800000000000002</v>
      </c>
    </row>
    <row r="110" spans="1:12" x14ac:dyDescent="0.3">
      <c r="A110" s="2" t="s">
        <v>236</v>
      </c>
      <c r="B110" s="3" t="s">
        <v>237</v>
      </c>
      <c r="C110" s="3" t="s">
        <v>29</v>
      </c>
      <c r="D110" s="4">
        <v>83</v>
      </c>
      <c r="E110" s="4">
        <v>62</v>
      </c>
      <c r="F110" s="4">
        <v>32</v>
      </c>
      <c r="G110" s="4">
        <v>83</v>
      </c>
      <c r="H110" s="4">
        <v>95</v>
      </c>
      <c r="I110" s="5">
        <f t="shared" si="3"/>
        <v>355</v>
      </c>
      <c r="J110" s="5">
        <v>500</v>
      </c>
      <c r="K110" s="6">
        <f t="shared" si="4"/>
        <v>0.71</v>
      </c>
      <c r="L110" s="7">
        <f t="shared" si="5"/>
        <v>0.29000000000000004</v>
      </c>
    </row>
    <row r="111" spans="1:12" x14ac:dyDescent="0.3">
      <c r="A111" s="2" t="s">
        <v>238</v>
      </c>
      <c r="B111" s="3" t="s">
        <v>239</v>
      </c>
      <c r="C111" s="3" t="s">
        <v>32</v>
      </c>
      <c r="D111" s="4">
        <v>39</v>
      </c>
      <c r="E111" s="4">
        <v>52</v>
      </c>
      <c r="F111" s="4">
        <v>72</v>
      </c>
      <c r="G111" s="4">
        <v>99</v>
      </c>
      <c r="H111" s="4">
        <v>58</v>
      </c>
      <c r="I111" s="5">
        <f t="shared" si="3"/>
        <v>320</v>
      </c>
      <c r="J111" s="5">
        <v>500</v>
      </c>
      <c r="K111" s="6">
        <f t="shared" si="4"/>
        <v>0.64</v>
      </c>
      <c r="L111" s="7">
        <f t="shared" si="5"/>
        <v>0.36</v>
      </c>
    </row>
    <row r="112" spans="1:12" x14ac:dyDescent="0.3">
      <c r="A112" s="2" t="s">
        <v>240</v>
      </c>
      <c r="B112" s="3" t="s">
        <v>241</v>
      </c>
      <c r="C112" s="3" t="s">
        <v>35</v>
      </c>
      <c r="D112" s="4">
        <v>93</v>
      </c>
      <c r="E112" s="4">
        <v>74</v>
      </c>
      <c r="F112" s="4">
        <v>85</v>
      </c>
      <c r="G112" s="4">
        <v>47</v>
      </c>
      <c r="H112" s="4">
        <v>90</v>
      </c>
      <c r="I112" s="5">
        <f t="shared" si="3"/>
        <v>389</v>
      </c>
      <c r="J112" s="5">
        <v>500</v>
      </c>
      <c r="K112" s="6">
        <f t="shared" si="4"/>
        <v>0.77800000000000002</v>
      </c>
      <c r="L112" s="7">
        <f t="shared" si="5"/>
        <v>0.22199999999999998</v>
      </c>
    </row>
    <row r="113" spans="1:12" x14ac:dyDescent="0.3">
      <c r="A113" s="2" t="s">
        <v>242</v>
      </c>
      <c r="B113" s="3" t="s">
        <v>243</v>
      </c>
      <c r="C113" s="3" t="s">
        <v>14</v>
      </c>
      <c r="D113" s="4">
        <v>43</v>
      </c>
      <c r="E113" s="4">
        <v>88</v>
      </c>
      <c r="F113" s="4">
        <v>35</v>
      </c>
      <c r="G113" s="4">
        <v>54</v>
      </c>
      <c r="H113" s="4">
        <v>91</v>
      </c>
      <c r="I113" s="5">
        <f t="shared" si="3"/>
        <v>311</v>
      </c>
      <c r="J113" s="5">
        <v>500</v>
      </c>
      <c r="K113" s="6">
        <f t="shared" si="4"/>
        <v>0.622</v>
      </c>
      <c r="L113" s="7">
        <f t="shared" si="5"/>
        <v>0.378</v>
      </c>
    </row>
    <row r="114" spans="1:12" x14ac:dyDescent="0.3">
      <c r="A114" s="2" t="s">
        <v>244</v>
      </c>
      <c r="B114" s="3" t="s">
        <v>245</v>
      </c>
      <c r="C114" s="3" t="s">
        <v>17</v>
      </c>
      <c r="D114" s="4">
        <v>87</v>
      </c>
      <c r="E114" s="4">
        <v>15</v>
      </c>
      <c r="F114" s="4">
        <v>11</v>
      </c>
      <c r="G114" s="4">
        <v>42</v>
      </c>
      <c r="H114" s="4">
        <v>88</v>
      </c>
      <c r="I114" s="5">
        <f t="shared" si="3"/>
        <v>243</v>
      </c>
      <c r="J114" s="5">
        <v>500</v>
      </c>
      <c r="K114" s="6">
        <f t="shared" si="4"/>
        <v>0.48599999999999999</v>
      </c>
      <c r="L114" s="7">
        <f t="shared" si="5"/>
        <v>0.51400000000000001</v>
      </c>
    </row>
    <row r="115" spans="1:12" x14ac:dyDescent="0.3">
      <c r="A115" s="2" t="s">
        <v>246</v>
      </c>
      <c r="B115" s="3" t="s">
        <v>247</v>
      </c>
      <c r="C115" s="3" t="s">
        <v>20</v>
      </c>
      <c r="D115" s="4">
        <v>45</v>
      </c>
      <c r="E115" s="4">
        <v>45</v>
      </c>
      <c r="F115" s="4">
        <v>61</v>
      </c>
      <c r="G115" s="4">
        <v>11</v>
      </c>
      <c r="H115" s="4">
        <v>52</v>
      </c>
      <c r="I115" s="5">
        <f t="shared" si="3"/>
        <v>214</v>
      </c>
      <c r="J115" s="5">
        <v>500</v>
      </c>
      <c r="K115" s="6">
        <f t="shared" si="4"/>
        <v>0.42799999999999999</v>
      </c>
      <c r="L115" s="7">
        <f t="shared" si="5"/>
        <v>0.57200000000000006</v>
      </c>
    </row>
    <row r="116" spans="1:12" x14ac:dyDescent="0.3">
      <c r="A116" s="2" t="s">
        <v>248</v>
      </c>
      <c r="B116" s="3" t="s">
        <v>249</v>
      </c>
      <c r="C116" s="3" t="s">
        <v>23</v>
      </c>
      <c r="D116" s="4">
        <v>71</v>
      </c>
      <c r="E116" s="4">
        <v>42</v>
      </c>
      <c r="F116" s="4">
        <v>17</v>
      </c>
      <c r="G116" s="4">
        <v>57</v>
      </c>
      <c r="H116" s="4">
        <v>96</v>
      </c>
      <c r="I116" s="5">
        <f t="shared" si="3"/>
        <v>283</v>
      </c>
      <c r="J116" s="5">
        <v>500</v>
      </c>
      <c r="K116" s="6">
        <f t="shared" si="4"/>
        <v>0.56599999999999995</v>
      </c>
      <c r="L116" s="7">
        <f t="shared" si="5"/>
        <v>0.43400000000000005</v>
      </c>
    </row>
    <row r="117" spans="1:12" x14ac:dyDescent="0.3">
      <c r="A117" s="2" t="s">
        <v>250</v>
      </c>
      <c r="B117" s="3" t="s">
        <v>251</v>
      </c>
      <c r="C117" s="3" t="s">
        <v>26</v>
      </c>
      <c r="D117" s="4">
        <v>26</v>
      </c>
      <c r="E117" s="4">
        <v>65</v>
      </c>
      <c r="F117" s="4">
        <v>17</v>
      </c>
      <c r="G117" s="4">
        <v>28</v>
      </c>
      <c r="H117" s="4">
        <v>30</v>
      </c>
      <c r="I117" s="5">
        <f t="shared" si="3"/>
        <v>166</v>
      </c>
      <c r="J117" s="5">
        <v>500</v>
      </c>
      <c r="K117" s="6">
        <f t="shared" si="4"/>
        <v>0.33200000000000002</v>
      </c>
      <c r="L117" s="7">
        <f t="shared" si="5"/>
        <v>0.66799999999999993</v>
      </c>
    </row>
    <row r="118" spans="1:12" x14ac:dyDescent="0.3">
      <c r="A118" s="2" t="s">
        <v>252</v>
      </c>
      <c r="B118" s="3" t="s">
        <v>253</v>
      </c>
      <c r="C118" s="3" t="s">
        <v>29</v>
      </c>
      <c r="D118" s="4">
        <v>26</v>
      </c>
      <c r="E118" s="4">
        <v>61</v>
      </c>
      <c r="F118" s="4">
        <v>89</v>
      </c>
      <c r="G118" s="4">
        <v>71</v>
      </c>
      <c r="H118" s="4">
        <v>33</v>
      </c>
      <c r="I118" s="5">
        <f t="shared" si="3"/>
        <v>280</v>
      </c>
      <c r="J118" s="5">
        <v>500</v>
      </c>
      <c r="K118" s="6">
        <f t="shared" si="4"/>
        <v>0.56000000000000005</v>
      </c>
      <c r="L118" s="7">
        <f t="shared" si="5"/>
        <v>0.43999999999999995</v>
      </c>
    </row>
    <row r="119" spans="1:12" x14ac:dyDescent="0.3">
      <c r="A119" s="2" t="s">
        <v>254</v>
      </c>
      <c r="B119" s="3" t="s">
        <v>255</v>
      </c>
      <c r="C119" s="3" t="s">
        <v>32</v>
      </c>
      <c r="D119" s="4">
        <v>93</v>
      </c>
      <c r="E119" s="4">
        <v>11</v>
      </c>
      <c r="F119" s="4">
        <v>93</v>
      </c>
      <c r="G119" s="4">
        <v>31</v>
      </c>
      <c r="H119" s="4">
        <v>30</v>
      </c>
      <c r="I119" s="5">
        <f t="shared" si="3"/>
        <v>258</v>
      </c>
      <c r="J119" s="5">
        <v>500</v>
      </c>
      <c r="K119" s="6">
        <f t="shared" si="4"/>
        <v>0.51600000000000001</v>
      </c>
      <c r="L119" s="7">
        <f t="shared" si="5"/>
        <v>0.48399999999999999</v>
      </c>
    </row>
    <row r="120" spans="1:12" x14ac:dyDescent="0.3">
      <c r="A120" s="2" t="s">
        <v>256</v>
      </c>
      <c r="B120" s="3" t="s">
        <v>257</v>
      </c>
      <c r="C120" s="3" t="s">
        <v>35</v>
      </c>
      <c r="D120" s="4">
        <v>65</v>
      </c>
      <c r="E120" s="4">
        <v>92</v>
      </c>
      <c r="F120" s="4">
        <v>48</v>
      </c>
      <c r="G120" s="4">
        <v>96</v>
      </c>
      <c r="H120" s="4">
        <v>15</v>
      </c>
      <c r="I120" s="5">
        <f t="shared" si="3"/>
        <v>316</v>
      </c>
      <c r="J120" s="5">
        <v>500</v>
      </c>
      <c r="K120" s="6">
        <f t="shared" si="4"/>
        <v>0.63200000000000001</v>
      </c>
      <c r="L120" s="7">
        <f t="shared" si="5"/>
        <v>0.36799999999999999</v>
      </c>
    </row>
    <row r="121" spans="1:12" x14ac:dyDescent="0.3">
      <c r="A121" s="2" t="s">
        <v>258</v>
      </c>
      <c r="B121" s="3" t="s">
        <v>259</v>
      </c>
      <c r="C121" s="3" t="s">
        <v>14</v>
      </c>
      <c r="D121" s="4">
        <v>91</v>
      </c>
      <c r="E121" s="4">
        <v>38</v>
      </c>
      <c r="F121" s="4">
        <v>33</v>
      </c>
      <c r="G121" s="4">
        <v>55</v>
      </c>
      <c r="H121" s="4">
        <v>83</v>
      </c>
      <c r="I121" s="5">
        <f t="shared" si="3"/>
        <v>300</v>
      </c>
      <c r="J121" s="5">
        <v>500</v>
      </c>
      <c r="K121" s="6">
        <f t="shared" si="4"/>
        <v>0.6</v>
      </c>
      <c r="L121" s="7">
        <f t="shared" si="5"/>
        <v>0.4</v>
      </c>
    </row>
    <row r="122" spans="1:12" x14ac:dyDescent="0.3">
      <c r="A122" s="2" t="s">
        <v>260</v>
      </c>
      <c r="B122" s="3" t="s">
        <v>261</v>
      </c>
      <c r="C122" s="3" t="s">
        <v>17</v>
      </c>
      <c r="D122" s="4">
        <v>20</v>
      </c>
      <c r="E122" s="4">
        <v>94</v>
      </c>
      <c r="F122" s="4">
        <v>45</v>
      </c>
      <c r="G122" s="4">
        <v>70</v>
      </c>
      <c r="H122" s="4">
        <v>98</v>
      </c>
      <c r="I122" s="5">
        <f t="shared" si="3"/>
        <v>327</v>
      </c>
      <c r="J122" s="5">
        <v>500</v>
      </c>
      <c r="K122" s="6">
        <f t="shared" si="4"/>
        <v>0.65400000000000003</v>
      </c>
      <c r="L122" s="7">
        <f t="shared" si="5"/>
        <v>0.34599999999999997</v>
      </c>
    </row>
    <row r="123" spans="1:12" x14ac:dyDescent="0.3">
      <c r="A123" s="2" t="s">
        <v>262</v>
      </c>
      <c r="B123" s="3" t="s">
        <v>263</v>
      </c>
      <c r="C123" s="3" t="s">
        <v>20</v>
      </c>
      <c r="D123" s="4">
        <v>25</v>
      </c>
      <c r="E123" s="4">
        <v>83</v>
      </c>
      <c r="F123" s="4">
        <v>26</v>
      </c>
      <c r="G123" s="4">
        <v>68</v>
      </c>
      <c r="H123" s="4">
        <v>22</v>
      </c>
      <c r="I123" s="5">
        <f t="shared" si="3"/>
        <v>224</v>
      </c>
      <c r="J123" s="5">
        <v>500</v>
      </c>
      <c r="K123" s="6">
        <f t="shared" si="4"/>
        <v>0.44800000000000001</v>
      </c>
      <c r="L123" s="7">
        <f t="shared" si="5"/>
        <v>0.55200000000000005</v>
      </c>
    </row>
    <row r="124" spans="1:12" x14ac:dyDescent="0.3">
      <c r="A124" s="2" t="s">
        <v>264</v>
      </c>
      <c r="B124" s="3" t="s">
        <v>265</v>
      </c>
      <c r="C124" s="3" t="s">
        <v>23</v>
      </c>
      <c r="D124" s="4">
        <v>26</v>
      </c>
      <c r="E124" s="4">
        <v>16</v>
      </c>
      <c r="F124" s="4">
        <v>61</v>
      </c>
      <c r="G124" s="4">
        <v>92</v>
      </c>
      <c r="H124" s="4">
        <v>50</v>
      </c>
      <c r="I124" s="5">
        <f t="shared" si="3"/>
        <v>245</v>
      </c>
      <c r="J124" s="5">
        <v>500</v>
      </c>
      <c r="K124" s="6">
        <f t="shared" si="4"/>
        <v>0.49</v>
      </c>
      <c r="L124" s="7">
        <f t="shared" si="5"/>
        <v>0.51</v>
      </c>
    </row>
    <row r="125" spans="1:12" x14ac:dyDescent="0.3">
      <c r="A125" s="2" t="s">
        <v>266</v>
      </c>
      <c r="B125" s="3" t="s">
        <v>267</v>
      </c>
      <c r="C125" s="3" t="s">
        <v>26</v>
      </c>
      <c r="D125" s="4">
        <v>31</v>
      </c>
      <c r="E125" s="4">
        <v>55</v>
      </c>
      <c r="F125" s="4">
        <v>75</v>
      </c>
      <c r="G125" s="4">
        <v>66</v>
      </c>
      <c r="H125" s="4">
        <v>75</v>
      </c>
      <c r="I125" s="5">
        <f t="shared" si="3"/>
        <v>302</v>
      </c>
      <c r="J125" s="5">
        <v>500</v>
      </c>
      <c r="K125" s="6">
        <f t="shared" si="4"/>
        <v>0.60399999999999998</v>
      </c>
      <c r="L125" s="7">
        <f t="shared" si="5"/>
        <v>0.39600000000000002</v>
      </c>
    </row>
    <row r="126" spans="1:12" x14ac:dyDescent="0.3">
      <c r="A126" s="2" t="s">
        <v>268</v>
      </c>
      <c r="B126" s="3" t="s">
        <v>269</v>
      </c>
      <c r="C126" s="3" t="s">
        <v>29</v>
      </c>
      <c r="D126" s="4">
        <v>41</v>
      </c>
      <c r="E126" s="4">
        <v>66</v>
      </c>
      <c r="F126" s="4">
        <v>48</v>
      </c>
      <c r="G126" s="4">
        <v>70</v>
      </c>
      <c r="H126" s="4">
        <v>48</v>
      </c>
      <c r="I126" s="5">
        <f t="shared" si="3"/>
        <v>273</v>
      </c>
      <c r="J126" s="5">
        <v>500</v>
      </c>
      <c r="K126" s="6">
        <f t="shared" si="4"/>
        <v>0.54600000000000004</v>
      </c>
      <c r="L126" s="7">
        <f t="shared" si="5"/>
        <v>0.45399999999999996</v>
      </c>
    </row>
    <row r="127" spans="1:12" x14ac:dyDescent="0.3">
      <c r="A127" s="2" t="s">
        <v>270</v>
      </c>
      <c r="B127" s="3" t="s">
        <v>271</v>
      </c>
      <c r="C127" s="3" t="s">
        <v>32</v>
      </c>
      <c r="D127" s="4">
        <v>60</v>
      </c>
      <c r="E127" s="4">
        <v>92</v>
      </c>
      <c r="F127" s="4">
        <v>32</v>
      </c>
      <c r="G127" s="4">
        <v>60</v>
      </c>
      <c r="H127" s="4">
        <v>78</v>
      </c>
      <c r="I127" s="5">
        <f t="shared" si="3"/>
        <v>322</v>
      </c>
      <c r="J127" s="5">
        <v>500</v>
      </c>
      <c r="K127" s="6">
        <f t="shared" si="4"/>
        <v>0.64400000000000002</v>
      </c>
      <c r="L127" s="7">
        <f t="shared" si="5"/>
        <v>0.35599999999999998</v>
      </c>
    </row>
    <row r="128" spans="1:12" x14ac:dyDescent="0.3">
      <c r="A128" s="2" t="s">
        <v>272</v>
      </c>
      <c r="B128" s="3" t="s">
        <v>273</v>
      </c>
      <c r="C128" s="3" t="s">
        <v>35</v>
      </c>
      <c r="D128" s="4">
        <v>42</v>
      </c>
      <c r="E128" s="4">
        <v>24</v>
      </c>
      <c r="F128" s="4">
        <v>19</v>
      </c>
      <c r="G128" s="4">
        <v>82</v>
      </c>
      <c r="H128" s="4">
        <v>16</v>
      </c>
      <c r="I128" s="5">
        <f t="shared" si="3"/>
        <v>183</v>
      </c>
      <c r="J128" s="5">
        <v>500</v>
      </c>
      <c r="K128" s="6">
        <f t="shared" si="4"/>
        <v>0.36599999999999999</v>
      </c>
      <c r="L128" s="7">
        <f t="shared" si="5"/>
        <v>0.63400000000000001</v>
      </c>
    </row>
    <row r="129" spans="1:12" x14ac:dyDescent="0.3">
      <c r="A129" s="2" t="s">
        <v>274</v>
      </c>
      <c r="B129" s="3" t="s">
        <v>275</v>
      </c>
      <c r="C129" s="3" t="s">
        <v>14</v>
      </c>
      <c r="D129" s="4">
        <v>26</v>
      </c>
      <c r="E129" s="4">
        <v>85</v>
      </c>
      <c r="F129" s="4">
        <v>75</v>
      </c>
      <c r="G129" s="4">
        <v>83</v>
      </c>
      <c r="H129" s="4">
        <v>37</v>
      </c>
      <c r="I129" s="5">
        <f t="shared" si="3"/>
        <v>306</v>
      </c>
      <c r="J129" s="5">
        <v>500</v>
      </c>
      <c r="K129" s="6">
        <f t="shared" si="4"/>
        <v>0.61199999999999999</v>
      </c>
      <c r="L129" s="7">
        <f t="shared" si="5"/>
        <v>0.38800000000000001</v>
      </c>
    </row>
    <row r="130" spans="1:12" x14ac:dyDescent="0.3">
      <c r="A130" s="2" t="s">
        <v>276</v>
      </c>
      <c r="B130" s="3" t="s">
        <v>277</v>
      </c>
      <c r="C130" s="3" t="s">
        <v>17</v>
      </c>
      <c r="D130" s="4">
        <v>81</v>
      </c>
      <c r="E130" s="4">
        <v>68</v>
      </c>
      <c r="F130" s="4">
        <v>74</v>
      </c>
      <c r="G130" s="4">
        <v>72</v>
      </c>
      <c r="H130" s="4">
        <v>12</v>
      </c>
      <c r="I130" s="5">
        <f t="shared" ref="I130:I140" si="6">SUM(D130:H130)</f>
        <v>307</v>
      </c>
      <c r="J130" s="5">
        <v>500</v>
      </c>
      <c r="K130" s="6">
        <f t="shared" ref="K130:K140" si="7">I130/J130</f>
        <v>0.61399999999999999</v>
      </c>
      <c r="L130" s="7">
        <f t="shared" ref="L130:L140" si="8">100%-K130</f>
        <v>0.38600000000000001</v>
      </c>
    </row>
    <row r="131" spans="1:12" x14ac:dyDescent="0.3">
      <c r="A131" s="2" t="s">
        <v>278</v>
      </c>
      <c r="B131" s="3" t="s">
        <v>279</v>
      </c>
      <c r="C131" s="3" t="s">
        <v>20</v>
      </c>
      <c r="D131" s="4">
        <v>90</v>
      </c>
      <c r="E131" s="4">
        <v>79</v>
      </c>
      <c r="F131" s="4">
        <v>99</v>
      </c>
      <c r="G131" s="4">
        <v>60</v>
      </c>
      <c r="H131" s="4">
        <v>27</v>
      </c>
      <c r="I131" s="5">
        <f t="shared" si="6"/>
        <v>355</v>
      </c>
      <c r="J131" s="5">
        <v>500</v>
      </c>
      <c r="K131" s="6">
        <f t="shared" si="7"/>
        <v>0.71</v>
      </c>
      <c r="L131" s="7">
        <f t="shared" si="8"/>
        <v>0.29000000000000004</v>
      </c>
    </row>
    <row r="132" spans="1:12" x14ac:dyDescent="0.3">
      <c r="A132" s="2" t="s">
        <v>280</v>
      </c>
      <c r="B132" s="3" t="s">
        <v>281</v>
      </c>
      <c r="C132" s="3" t="s">
        <v>23</v>
      </c>
      <c r="D132" s="4">
        <v>71</v>
      </c>
      <c r="E132" s="4">
        <v>21</v>
      </c>
      <c r="F132" s="4">
        <v>70</v>
      </c>
      <c r="G132" s="4">
        <v>53</v>
      </c>
      <c r="H132" s="4">
        <v>49</v>
      </c>
      <c r="I132" s="5">
        <f t="shared" si="6"/>
        <v>264</v>
      </c>
      <c r="J132" s="5">
        <v>500</v>
      </c>
      <c r="K132" s="6">
        <f t="shared" si="7"/>
        <v>0.52800000000000002</v>
      </c>
      <c r="L132" s="7">
        <f t="shared" si="8"/>
        <v>0.47199999999999998</v>
      </c>
    </row>
    <row r="133" spans="1:12" x14ac:dyDescent="0.3">
      <c r="A133" s="2" t="s">
        <v>282</v>
      </c>
      <c r="B133" s="3" t="s">
        <v>283</v>
      </c>
      <c r="C133" s="3" t="s">
        <v>26</v>
      </c>
      <c r="D133" s="4">
        <v>86</v>
      </c>
      <c r="E133" s="4">
        <v>60</v>
      </c>
      <c r="F133" s="4">
        <v>59</v>
      </c>
      <c r="G133" s="4">
        <v>51</v>
      </c>
      <c r="H133" s="4">
        <v>90</v>
      </c>
      <c r="I133" s="5">
        <f t="shared" si="6"/>
        <v>346</v>
      </c>
      <c r="J133" s="5">
        <v>500</v>
      </c>
      <c r="K133" s="6">
        <f t="shared" si="7"/>
        <v>0.69199999999999995</v>
      </c>
      <c r="L133" s="7">
        <f t="shared" si="8"/>
        <v>0.30800000000000005</v>
      </c>
    </row>
    <row r="134" spans="1:12" x14ac:dyDescent="0.3">
      <c r="A134" s="2" t="s">
        <v>284</v>
      </c>
      <c r="B134" s="3" t="s">
        <v>285</v>
      </c>
      <c r="C134" s="3" t="s">
        <v>29</v>
      </c>
      <c r="D134" s="4">
        <v>68</v>
      </c>
      <c r="E134" s="4">
        <v>61</v>
      </c>
      <c r="F134" s="4">
        <v>12</v>
      </c>
      <c r="G134" s="4">
        <v>41</v>
      </c>
      <c r="H134" s="4">
        <v>35</v>
      </c>
      <c r="I134" s="5">
        <f t="shared" si="6"/>
        <v>217</v>
      </c>
      <c r="J134" s="5">
        <v>500</v>
      </c>
      <c r="K134" s="6">
        <f t="shared" si="7"/>
        <v>0.434</v>
      </c>
      <c r="L134" s="7">
        <f t="shared" si="8"/>
        <v>0.56600000000000006</v>
      </c>
    </row>
    <row r="135" spans="1:12" x14ac:dyDescent="0.3">
      <c r="A135" s="2" t="s">
        <v>286</v>
      </c>
      <c r="B135" s="3" t="s">
        <v>287</v>
      </c>
      <c r="C135" s="3" t="s">
        <v>32</v>
      </c>
      <c r="D135" s="4">
        <v>65</v>
      </c>
      <c r="E135" s="4">
        <v>34</v>
      </c>
      <c r="F135" s="4">
        <v>15</v>
      </c>
      <c r="G135" s="4">
        <v>86</v>
      </c>
      <c r="H135" s="4">
        <v>71</v>
      </c>
      <c r="I135" s="5">
        <f t="shared" si="6"/>
        <v>271</v>
      </c>
      <c r="J135" s="5">
        <v>500</v>
      </c>
      <c r="K135" s="6">
        <f t="shared" si="7"/>
        <v>0.54200000000000004</v>
      </c>
      <c r="L135" s="7">
        <f t="shared" si="8"/>
        <v>0.45799999999999996</v>
      </c>
    </row>
    <row r="136" spans="1:12" x14ac:dyDescent="0.3">
      <c r="A136" s="2" t="s">
        <v>288</v>
      </c>
      <c r="B136" s="3" t="s">
        <v>289</v>
      </c>
      <c r="C136" s="3" t="s">
        <v>14</v>
      </c>
      <c r="D136" s="4">
        <v>73</v>
      </c>
      <c r="E136" s="4">
        <v>67</v>
      </c>
      <c r="F136" s="4">
        <v>49</v>
      </c>
      <c r="G136" s="4">
        <v>56</v>
      </c>
      <c r="H136" s="4">
        <v>43</v>
      </c>
      <c r="I136" s="5">
        <f t="shared" si="6"/>
        <v>288</v>
      </c>
      <c r="J136" s="5">
        <v>500</v>
      </c>
      <c r="K136" s="6">
        <f t="shared" si="7"/>
        <v>0.57599999999999996</v>
      </c>
      <c r="L136" s="7">
        <f t="shared" si="8"/>
        <v>0.42400000000000004</v>
      </c>
    </row>
    <row r="137" spans="1:12" x14ac:dyDescent="0.3">
      <c r="A137" s="2" t="s">
        <v>290</v>
      </c>
      <c r="B137" s="3" t="s">
        <v>291</v>
      </c>
      <c r="C137" s="3" t="s">
        <v>17</v>
      </c>
      <c r="D137" s="4">
        <v>72</v>
      </c>
      <c r="E137" s="4">
        <v>49</v>
      </c>
      <c r="F137" s="4">
        <v>93</v>
      </c>
      <c r="G137" s="4">
        <v>95</v>
      </c>
      <c r="H137" s="4">
        <v>73</v>
      </c>
      <c r="I137" s="5">
        <f t="shared" si="6"/>
        <v>382</v>
      </c>
      <c r="J137" s="5">
        <v>500</v>
      </c>
      <c r="K137" s="6">
        <f t="shared" si="7"/>
        <v>0.76400000000000001</v>
      </c>
      <c r="L137" s="7">
        <f t="shared" si="8"/>
        <v>0.23599999999999999</v>
      </c>
    </row>
    <row r="138" spans="1:12" x14ac:dyDescent="0.3">
      <c r="A138" s="2" t="s">
        <v>292</v>
      </c>
      <c r="B138" s="3" t="s">
        <v>293</v>
      </c>
      <c r="C138" s="3" t="s">
        <v>20</v>
      </c>
      <c r="D138" s="4">
        <v>85</v>
      </c>
      <c r="E138" s="4">
        <v>43</v>
      </c>
      <c r="F138" s="4">
        <v>74</v>
      </c>
      <c r="G138" s="4">
        <v>26</v>
      </c>
      <c r="H138" s="4">
        <v>88</v>
      </c>
      <c r="I138" s="5">
        <f t="shared" si="6"/>
        <v>316</v>
      </c>
      <c r="J138" s="5">
        <v>500</v>
      </c>
      <c r="K138" s="6">
        <f t="shared" si="7"/>
        <v>0.63200000000000001</v>
      </c>
      <c r="L138" s="7">
        <f t="shared" si="8"/>
        <v>0.36799999999999999</v>
      </c>
    </row>
    <row r="139" spans="1:12" x14ac:dyDescent="0.3">
      <c r="A139" s="2" t="s">
        <v>294</v>
      </c>
      <c r="B139" s="3" t="s">
        <v>295</v>
      </c>
      <c r="C139" s="3" t="s">
        <v>23</v>
      </c>
      <c r="D139" s="4">
        <v>77</v>
      </c>
      <c r="E139" s="4">
        <v>81</v>
      </c>
      <c r="F139" s="4">
        <v>10</v>
      </c>
      <c r="G139" s="4">
        <v>65</v>
      </c>
      <c r="H139" s="4">
        <v>83</v>
      </c>
      <c r="I139" s="5">
        <f t="shared" si="6"/>
        <v>316</v>
      </c>
      <c r="J139" s="5">
        <v>500</v>
      </c>
      <c r="K139" s="6">
        <f t="shared" si="7"/>
        <v>0.63200000000000001</v>
      </c>
      <c r="L139" s="7">
        <f t="shared" si="8"/>
        <v>0.36799999999999999</v>
      </c>
    </row>
    <row r="140" spans="1:12" x14ac:dyDescent="0.3">
      <c r="A140" s="2" t="s">
        <v>296</v>
      </c>
      <c r="B140" s="3" t="s">
        <v>297</v>
      </c>
      <c r="C140" s="3" t="s">
        <v>26</v>
      </c>
      <c r="D140" s="4">
        <v>46</v>
      </c>
      <c r="E140" s="4">
        <v>52</v>
      </c>
      <c r="F140" s="4">
        <v>57</v>
      </c>
      <c r="G140" s="4">
        <v>67</v>
      </c>
      <c r="H140" s="4">
        <v>64</v>
      </c>
      <c r="I140" s="5">
        <f t="shared" si="6"/>
        <v>286</v>
      </c>
      <c r="J140" s="5">
        <v>500</v>
      </c>
      <c r="K140" s="6">
        <f t="shared" si="7"/>
        <v>0.57199999999999995</v>
      </c>
      <c r="L140"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Rajdeep Singh</cp:lastModifiedBy>
  <dcterms:created xsi:type="dcterms:W3CDTF">2022-05-30T01:30:00Z</dcterms:created>
  <dcterms:modified xsi:type="dcterms:W3CDTF">2026-01-21T16:49:24Z</dcterms:modified>
</cp:coreProperties>
</file>